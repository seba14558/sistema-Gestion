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ICIO" sheetId="1" state="visible" r:id="rId1"/>
    <sheet xmlns:r="http://schemas.openxmlformats.org/officeDocument/2006/relationships" name="VENTAS" sheetId="2" state="visible" r:id="rId2"/>
    <sheet xmlns:r="http://schemas.openxmlformats.org/officeDocument/2006/relationships" name="Compras" sheetId="3" state="hidden" r:id="rId3"/>
    <sheet xmlns:r="http://schemas.openxmlformats.org/officeDocument/2006/relationships" name="Base de Datos Billeteras Virtua" sheetId="4" state="hidden" r:id="rId4"/>
    <sheet xmlns:r="http://schemas.openxmlformats.org/officeDocument/2006/relationships" name="Base de Datos Efectivo" sheetId="5" state="hidden" r:id="rId5"/>
    <sheet xmlns:r="http://schemas.openxmlformats.org/officeDocument/2006/relationships" name="Base de Datos Tarjetas" sheetId="6" state="visible" r:id="rId6"/>
    <sheet xmlns:r="http://schemas.openxmlformats.org/officeDocument/2006/relationships" name="Informe 2026" sheetId="7" state="visible" r:id="rId7"/>
  </sheets>
  <definedNames>
    <definedName name="_xlnm._FilterDatabase" localSheetId="0" hidden="1">'INICIO'!$A$2:$L$17</definedName>
    <definedName name="_xlnm._FilterDatabase" localSheetId="1" hidden="1">'VENTAS'!$A$1:$Z$27</definedName>
    <definedName name="_xlnm._FilterDatabase" localSheetId="2" hidden="1">'Compras'!$A$1:$F$20</definedName>
    <definedName name="_xlnm._FilterDatabase" localSheetId="3" hidden="1">'Base de Datos Billeteras Virtua'!$A$1:$H$1120</definedName>
    <definedName name="_xlnm._FilterDatabase" localSheetId="4" hidden="1">'Base de Datos Efectivo'!$A$1:$C$999</definedName>
    <definedName name="_xlnm._FilterDatabase" localSheetId="5" hidden="1">'Base de Datos Tarjetas'!$A$1:$I$1001</definedName>
    <definedName name="_xlnm._FilterDatabase" localSheetId="6" hidden="1">'Informe 2026'!$A$1:$D$10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d/M/yyyy"/>
    <numFmt numFmtId="165" formatCode="[$ $]#,##0.00"/>
    <numFmt numFmtId="166" formatCode="m/d/yyyy h:mm:ss"/>
    <numFmt numFmtId="167" formatCode="d/m/yy"/>
    <numFmt numFmtId="168" formatCode="dd/mm/yyyy"/>
    <numFmt numFmtId="169" formatCode="d/m"/>
    <numFmt numFmtId="170" formatCode="d/m/yyyy"/>
  </numFmts>
  <fonts count="32">
    <font>
      <name val="Arial"/>
      <color rgb="FF000000"/>
      <sz val="10"/>
      <scheme val="minor"/>
    </font>
    <font>
      <name val="Trebuchet MS"/>
      <b val="1"/>
      <color rgb="FFFF9900"/>
      <sz val="11"/>
    </font>
    <font>
      <name val="Arial"/>
      <color rgb="FF00FF00"/>
      <scheme val="minor"/>
    </font>
    <font>
      <name val="Arial"/>
      <b val="1"/>
      <color rgb="FF00B8FC"/>
      <scheme val="minor"/>
    </font>
    <font>
      <name val="Arial"/>
      <b val="1"/>
      <color rgb="FFFF9900"/>
    </font>
    <font>
      <name val="Arial"/>
      <color theme="1"/>
      <scheme val="minor"/>
    </font>
    <font>
      <name val="Russo One"/>
      <b val="1"/>
      <color rgb="FFFF9900"/>
      <sz val="17"/>
    </font>
    <font/>
    <font>
      <name val="Courier New"/>
      <color theme="1"/>
    </font>
    <font>
      <name val="Concert One"/>
      <b val="1"/>
      <color rgb="FF000000"/>
      <sz val="13"/>
    </font>
    <font>
      <name val="Courier New"/>
      <b val="1"/>
      <color theme="1"/>
      <sz val="11"/>
    </font>
    <font>
      <name val="Trebuchet MS"/>
      <b val="1"/>
      <color rgb="FFFFFFFF"/>
      <sz val="11"/>
    </font>
    <font>
      <name val="Courier New"/>
      <b val="1"/>
      <color rgb="FFFFFFFF"/>
    </font>
    <font>
      <name val="Russo One"/>
      <b val="1"/>
      <color theme="1"/>
      <sz val="11"/>
    </font>
    <font>
      <name val="Courier New"/>
      <b val="1"/>
      <color rgb="FF000000"/>
    </font>
    <font>
      <name val="Arial"/>
      <b val="1"/>
      <color rgb="FFFF9900"/>
      <scheme val="minor"/>
    </font>
    <font>
      <name val="Courier New"/>
      <b val="1"/>
      <color theme="1"/>
      <sz val="12"/>
    </font>
    <font>
      <name val="Lexend"/>
      <b val="1"/>
      <color rgb="FFFFFFFF"/>
      <sz val="9"/>
    </font>
    <font>
      <name val="Lexend"/>
      <b val="1"/>
      <color rgb="FF000000"/>
      <sz val="9"/>
    </font>
    <font>
      <name val="Courier New"/>
      <b val="1"/>
      <color theme="1"/>
      <sz val="14"/>
    </font>
    <font>
      <name val="Arial"/>
      <b val="1"/>
      <color theme="1"/>
      <sz val="14"/>
      <scheme val="minor"/>
    </font>
    <font>
      <name val="Courier New"/>
      <b val="1"/>
      <color rgb="FFFFFFFF"/>
      <sz val="12"/>
    </font>
    <font>
      <name val="Russo One"/>
      <color rgb="FFB7B7B7"/>
      <sz val="9"/>
    </font>
    <font>
      <b val="1"/>
      <color rgb="00FFFFFF"/>
      <sz val="24"/>
    </font>
    <font>
      <i val="1"/>
      <color rgb="00666666"/>
      <sz val="11"/>
    </font>
    <font>
      <b val="1"/>
      <color rgb="00FFFFFF"/>
      <sz val="12"/>
    </font>
    <font>
      <b val="1"/>
      <color rgb="00263238"/>
      <sz val="18"/>
    </font>
    <font>
      <b val="1"/>
      <color rgb="00FFFFFF"/>
      <sz val="14"/>
    </font>
    <font>
      <name val="Calibri"/>
      <family val="2"/>
      <color theme="10"/>
      <sz val="12"/>
      <scheme val="minor"/>
    </font>
    <font>
      <b val="1"/>
      <color rgb="00FFFFFF"/>
      <sz val="12"/>
      <u val="single"/>
    </font>
    <font>
      <color rgb="00263238"/>
      <sz val="10"/>
    </font>
    <font>
      <b val="1"/>
      <color rgb="00FFFFFF"/>
    </font>
  </fonts>
  <fills count="17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rgb="FF00B8FC"/>
        <bgColor rgb="FF00B8FC"/>
      </patternFill>
    </fill>
    <fill>
      <patternFill patternType="solid">
        <fgColor rgb="FFFC4A00"/>
        <bgColor rgb="FFFC4A00"/>
      </patternFill>
    </fill>
    <fill>
      <patternFill patternType="solid">
        <fgColor rgb="FF4E46C8"/>
        <bgColor rgb="FF4E46C8"/>
      </patternFill>
    </fill>
    <fill>
      <patternFill patternType="solid">
        <fgColor rgb="001F4E78"/>
      </patternFill>
    </fill>
    <fill>
      <patternFill patternType="solid">
        <fgColor rgb="002F75B5"/>
      </patternFill>
    </fill>
    <fill>
      <patternFill patternType="solid">
        <fgColor rgb="00F2F2F2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8064A2"/>
      </patternFill>
    </fill>
    <fill>
      <patternFill patternType="solid">
        <fgColor rgb="00D9EAF7"/>
      </patternFill>
    </fill>
    <fill>
      <patternFill patternType="solid">
        <fgColor rgb="00F8FBFD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double">
        <color rgb="FFFFFFFF"/>
      </left>
      <right style="double">
        <color rgb="FFFFFFFF"/>
      </right>
      <top style="double">
        <color rgb="FFFFFFFF"/>
      </top>
      <bottom style="double">
        <color rgb="FFFFFFFF"/>
      </bottom>
    </border>
    <border>
      <left style="double">
        <color rgb="FFFFFFFF"/>
      </left>
      <top style="double">
        <color rgb="FFFFFFFF"/>
      </top>
      <bottom style="double">
        <color rgb="FFFFFFFF"/>
      </bottom>
    </border>
    <border>
      <left style="thick">
        <color rgb="FF000000"/>
      </left>
    </border>
    <border>
      <right style="thick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tted">
        <color rgb="FF000000"/>
      </right>
      <bottom style="thick">
        <color rgb="FF000000"/>
      </bottom>
    </border>
    <border>
      <bottom style="thick">
        <color rgb="FF000000"/>
      </bottom>
    </border>
    <border>
      <left style="dotted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dotted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dotted">
        <color rgb="FF000000"/>
      </left>
      <top style="thick">
        <color rgb="FF000000"/>
      </top>
      <bottom style="thick">
        <color rgb="FF000000"/>
      </bottom>
    </border>
    <border>
      <left style="dotted">
        <color rgb="FF000000"/>
      </left>
      <right style="dotted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/>
      <bottom/>
      <diagonal/>
    </border>
    <border>
      <bottom style="medium">
        <color rgb="002F75B5"/>
      </bottom>
    </border>
  </borders>
  <cellStyleXfs count="2">
    <xf numFmtId="0" fontId="0" fillId="0" borderId="0"/>
    <xf numFmtId="0" fontId="28" fillId="0" borderId="23"/>
  </cellStyleXfs>
  <cellXfs count="11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bottom"/>
    </xf>
    <xf numFmtId="0" fontId="2" fillId="2" borderId="0" pivotButton="0" quotePrefix="0" xfId="0"/>
    <xf numFmtId="0" fontId="3" fillId="2" borderId="0" pivotButton="0" quotePrefix="0" xfId="0"/>
    <xf numFmtId="0" fontId="4" fillId="2" borderId="1" applyAlignment="1" pivotButton="0" quotePrefix="0" xfId="0">
      <alignment vertical="bottom"/>
    </xf>
    <xf numFmtId="164" fontId="5" fillId="0" borderId="0" pivotButton="0" quotePrefix="0" xfId="0"/>
    <xf numFmtId="0" fontId="5" fillId="0" borderId="0" pivotButton="0" quotePrefix="0" xfId="0"/>
    <xf numFmtId="0" fontId="6" fillId="2" borderId="2" applyAlignment="1" pivotButton="0" quotePrefix="0" xfId="0">
      <alignment horizontal="center" vertical="center"/>
    </xf>
    <xf numFmtId="0" fontId="4" fillId="2" borderId="1" applyAlignment="1" pivotButton="0" quotePrefix="0" xfId="0">
      <alignment vertical="bottom"/>
    </xf>
    <xf numFmtId="0" fontId="7" fillId="0" borderId="3" pivotButton="0" quotePrefix="0" xfId="0"/>
    <xf numFmtId="0" fontId="5" fillId="0" borderId="0" pivotButton="0" quotePrefix="0" xfId="0"/>
    <xf numFmtId="0" fontId="7" fillId="0" borderId="4" pivotButton="0" quotePrefix="0" xfId="0"/>
    <xf numFmtId="14" fontId="5" fillId="0" borderId="0" pivotButton="0" quotePrefix="0" xfId="0"/>
    <xf numFmtId="0" fontId="8" fillId="0" borderId="0" applyAlignment="1" pivotButton="0" quotePrefix="0" xfId="0">
      <alignment horizontal="center" vertical="center"/>
    </xf>
    <xf numFmtId="165" fontId="5" fillId="0" borderId="0" pivotButton="0" quotePrefix="0" xfId="0"/>
    <xf numFmtId="0" fontId="9" fillId="3" borderId="5" applyAlignment="1" pivotButton="0" quotePrefix="0" xfId="0">
      <alignment horizontal="center" vertical="center"/>
    </xf>
    <xf numFmtId="166" fontId="5" fillId="0" borderId="0" pivotButton="0" quotePrefix="0" xfId="0"/>
    <xf numFmtId="164" fontId="9" fillId="3" borderId="6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7" pivotButton="0" quotePrefix="0" xfId="0"/>
    <xf numFmtId="0" fontId="8" fillId="0" borderId="0" pivotButton="0" quotePrefix="0" xfId="0"/>
    <xf numFmtId="0" fontId="8" fillId="0" borderId="8" pivotButton="0" quotePrefix="0" xfId="0"/>
    <xf numFmtId="0" fontId="11" fillId="2" borderId="7" applyAlignment="1" pivotButton="0" quotePrefix="0" xfId="0">
      <alignment horizontal="center"/>
    </xf>
    <xf numFmtId="0" fontId="11" fillId="2" borderId="0" applyAlignment="1" pivotButton="0" quotePrefix="0" xfId="0">
      <alignment horizontal="center"/>
    </xf>
    <xf numFmtId="0" fontId="11" fillId="2" borderId="8" applyAlignment="1" pivotButton="0" quotePrefix="0" xfId="0">
      <alignment horizontal="center"/>
    </xf>
    <xf numFmtId="0" fontId="8" fillId="0" borderId="0" pivotButton="0" quotePrefix="0" xfId="0"/>
    <xf numFmtId="0" fontId="12" fillId="2" borderId="9" applyAlignment="1" pivotButton="0" quotePrefix="0" xfId="0">
      <alignment horizontal="center"/>
    </xf>
    <xf numFmtId="0" fontId="12" fillId="4" borderId="0" applyAlignment="1" pivotButton="0" quotePrefix="0" xfId="0">
      <alignment horizontal="center"/>
    </xf>
    <xf numFmtId="0" fontId="12" fillId="2" borderId="10" applyAlignment="1" pivotButton="0" quotePrefix="0" xfId="0">
      <alignment horizontal="center"/>
    </xf>
    <xf numFmtId="167" fontId="8" fillId="0" borderId="11" applyAlignment="1" pivotButton="0" quotePrefix="0" xfId="0">
      <alignment horizontal="left" vertical="center"/>
    </xf>
    <xf numFmtId="0" fontId="8" fillId="0" borderId="12" applyAlignment="1" pivotButton="0" quotePrefix="0" xfId="0">
      <alignment horizontal="left" vertical="center"/>
    </xf>
    <xf numFmtId="0" fontId="8" fillId="0" borderId="13" applyAlignment="1" pivotButton="0" quotePrefix="0" xfId="0">
      <alignment horizontal="right" vertical="center"/>
    </xf>
    <xf numFmtId="0" fontId="8" fillId="0" borderId="14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5" fontId="13" fillId="0" borderId="1" applyAlignment="1" pivotButton="0" quotePrefix="0" xfId="0">
      <alignment horizontal="center" vertical="center"/>
    </xf>
    <xf numFmtId="165" fontId="1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168" fontId="9" fillId="3" borderId="5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/>
    </xf>
    <xf numFmtId="165" fontId="10" fillId="0" borderId="1" applyAlignment="1" pivotButton="0" quotePrefix="0" xfId="0">
      <alignment horizontal="left" vertical="center"/>
    </xf>
    <xf numFmtId="164" fontId="5" fillId="0" borderId="0" pivotButton="0" quotePrefix="0" xfId="0"/>
    <xf numFmtId="169" fontId="8" fillId="0" borderId="0" pivotButton="0" quotePrefix="0" xfId="0"/>
    <xf numFmtId="0" fontId="8" fillId="0" borderId="8" pivotButton="0" quotePrefix="0" xfId="0"/>
    <xf numFmtId="0" fontId="12" fillId="5" borderId="1" applyAlignment="1" pivotButton="0" quotePrefix="0" xfId="0">
      <alignment horizontal="center"/>
    </xf>
    <xf numFmtId="0" fontId="14" fillId="6" borderId="1" applyAlignment="1" pivotButton="0" quotePrefix="0" xfId="0">
      <alignment horizontal="center"/>
    </xf>
    <xf numFmtId="0" fontId="14" fillId="7" borderId="1" applyAlignment="1" pivotButton="0" quotePrefix="0" xfId="0">
      <alignment horizontal="center"/>
    </xf>
    <xf numFmtId="0" fontId="15" fillId="2" borderId="0" pivotButton="0" quotePrefix="0" xfId="0"/>
    <xf numFmtId="165" fontId="8" fillId="0" borderId="13" applyAlignment="1" pivotButton="0" quotePrefix="0" xfId="0">
      <alignment horizontal="right" vertical="center"/>
    </xf>
    <xf numFmtId="0" fontId="5" fillId="0" borderId="0" pivotButton="0" quotePrefix="0" xfId="0"/>
    <xf numFmtId="165" fontId="16" fillId="0" borderId="15" applyAlignment="1" pivotButton="0" quotePrefix="0" xfId="0">
      <alignment horizontal="center" vertical="center"/>
    </xf>
    <xf numFmtId="14" fontId="5" fillId="0" borderId="0" pivotButton="0" quotePrefix="0" xfId="0"/>
    <xf numFmtId="0" fontId="17" fillId="5" borderId="1" applyAlignment="1" pivotButton="0" quotePrefix="0" xfId="0">
      <alignment horizontal="center"/>
    </xf>
    <xf numFmtId="0" fontId="18" fillId="6" borderId="1" applyAlignment="1" pivotButton="0" quotePrefix="0" xfId="0">
      <alignment horizontal="center"/>
    </xf>
    <xf numFmtId="0" fontId="18" fillId="7" borderId="1" applyAlignment="1" pivotButton="0" quotePrefix="0" xfId="0">
      <alignment horizontal="center"/>
    </xf>
    <xf numFmtId="0" fontId="19" fillId="0" borderId="0" pivotButton="0" quotePrefix="0" xfId="0"/>
    <xf numFmtId="0" fontId="19" fillId="0" borderId="1" applyAlignment="1" pivotButton="0" quotePrefix="0" xfId="0">
      <alignment horizontal="center"/>
    </xf>
    <xf numFmtId="170" fontId="5" fillId="0" borderId="0" pivotButton="0" quotePrefix="0" xfId="0"/>
    <xf numFmtId="0" fontId="20" fillId="0" borderId="0" pivotButton="0" quotePrefix="0" xfId="0"/>
    <xf numFmtId="0" fontId="21" fillId="2" borderId="0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  <xf numFmtId="0" fontId="17" fillId="8" borderId="1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center"/>
    </xf>
    <xf numFmtId="165" fontId="19" fillId="0" borderId="0" applyAlignment="1" pivotButton="0" quotePrefix="0" xfId="0">
      <alignment horizontal="center"/>
    </xf>
    <xf numFmtId="167" fontId="8" fillId="0" borderId="16" applyAlignment="1" pivotButton="0" quotePrefix="0" xfId="0">
      <alignment horizontal="left" vertical="center"/>
    </xf>
    <xf numFmtId="0" fontId="8" fillId="0" borderId="17" applyAlignment="1" pivotButton="0" quotePrefix="0" xfId="0">
      <alignment horizontal="left" vertical="center"/>
    </xf>
    <xf numFmtId="165" fontId="8" fillId="0" borderId="18" applyAlignment="1" pivotButton="0" quotePrefix="0" xfId="0">
      <alignment horizontal="right" vertical="center"/>
    </xf>
    <xf numFmtId="0" fontId="8" fillId="0" borderId="19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/>
    </xf>
    <xf numFmtId="0" fontId="22" fillId="4" borderId="0" applyAlignment="1" pivotButton="0" quotePrefix="0" xfId="0">
      <alignment horizontal="center" vertical="center"/>
    </xf>
    <xf numFmtId="165" fontId="22" fillId="4" borderId="0" applyAlignment="1" pivotButton="0" quotePrefix="0" xfId="0">
      <alignment horizontal="center" vertical="center"/>
    </xf>
    <xf numFmtId="165" fontId="5" fillId="0" borderId="0" pivotButton="0" quotePrefix="0" xfId="0"/>
    <xf numFmtId="0" fontId="5" fillId="0" borderId="0" pivotButton="0" quotePrefix="0" xfId="0"/>
    <xf numFmtId="0" fontId="0" fillId="0" borderId="0" pivotButton="0" quotePrefix="0" xfId="0"/>
    <xf numFmtId="0" fontId="31" fillId="9" borderId="24" applyAlignment="1" pivotButton="0" quotePrefix="0" xfId="0">
      <alignment horizontal="center" vertical="center" wrapText="1"/>
    </xf>
    <xf numFmtId="0" fontId="0" fillId="9" borderId="0" pivotButton="0" quotePrefix="0" xfId="0"/>
    <xf numFmtId="0" fontId="24" fillId="16" borderId="0" applyAlignment="1" pivotButton="0" quotePrefix="0" xfId="0">
      <alignment horizontal="center"/>
    </xf>
    <xf numFmtId="0" fontId="25" fillId="10" borderId="22" applyAlignment="1" pivotButton="0" quotePrefix="0" xfId="0">
      <alignment horizontal="center" vertical="center"/>
    </xf>
    <xf numFmtId="0" fontId="0" fillId="0" borderId="22" pivotButton="0" quotePrefix="0" xfId="0"/>
    <xf numFmtId="0" fontId="25" fillId="12" borderId="22" applyAlignment="1" pivotButton="0" quotePrefix="0" xfId="0">
      <alignment horizontal="center" vertical="center"/>
    </xf>
    <xf numFmtId="0" fontId="25" fillId="13" borderId="22" applyAlignment="1" pivotButton="0" quotePrefix="0" xfId="0">
      <alignment horizontal="center" vertical="center"/>
    </xf>
    <xf numFmtId="0" fontId="25" fillId="14" borderId="22" applyAlignment="1" pivotButton="0" quotePrefix="0" xfId="0">
      <alignment horizontal="center" vertical="center"/>
    </xf>
    <xf numFmtId="0" fontId="26" fillId="11" borderId="22" applyAlignment="1" pivotButton="0" quotePrefix="0" xfId="0">
      <alignment horizontal="center" vertical="center"/>
    </xf>
    <xf numFmtId="0" fontId="27" fillId="9" borderId="0" applyAlignment="1" pivotButton="0" quotePrefix="0" xfId="0">
      <alignment horizontal="center"/>
    </xf>
    <xf numFmtId="0" fontId="29" fillId="0" borderId="23" pivotButton="0" quotePrefix="0" xfId="1"/>
    <xf numFmtId="0" fontId="29" fillId="16" borderId="23" pivotButton="0" quotePrefix="0" xfId="1"/>
    <xf numFmtId="0" fontId="30" fillId="15" borderId="0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164" fontId="31" fillId="9" borderId="24" applyAlignment="1" pivotButton="0" quotePrefix="0" xfId="0">
      <alignment horizontal="center" vertical="center" wrapText="1"/>
    </xf>
    <xf numFmtId="165" fontId="31" fillId="9" borderId="24" applyAlignment="1" pivotButton="0" quotePrefix="0" xfId="0">
      <alignment horizontal="center" vertical="center" wrapText="1"/>
    </xf>
    <xf numFmtId="0" fontId="8" fillId="16" borderId="0" applyAlignment="1" pivotButton="0" quotePrefix="0" xfId="0">
      <alignment horizontal="left" vertical="center"/>
    </xf>
    <xf numFmtId="165" fontId="13" fillId="16" borderId="1" applyAlignment="1" pivotButton="0" quotePrefix="0" xfId="0">
      <alignment horizontal="center" vertical="center"/>
    </xf>
    <xf numFmtId="0" fontId="6" fillId="2" borderId="21" applyAlignment="1" pivotButton="0" quotePrefix="0" xfId="0">
      <alignment horizontal="center" vertical="center"/>
    </xf>
    <xf numFmtId="0" fontId="8" fillId="16" borderId="8" pivotButton="0" quotePrefix="0" xfId="0"/>
    <xf numFmtId="165" fontId="16" fillId="16" borderId="15" applyAlignment="1" pivotButton="0" quotePrefix="0" xfId="0">
      <alignment horizontal="center" vertical="center"/>
    </xf>
    <xf numFmtId="0" fontId="19" fillId="16" borderId="1" applyAlignment="1" pivotButton="0" quotePrefix="0" xfId="0">
      <alignment horizontal="center"/>
    </xf>
    <xf numFmtId="0" fontId="8" fillId="16" borderId="0" pivotButton="0" quotePrefix="0" xfId="0"/>
    <xf numFmtId="0" fontId="19" fillId="16" borderId="0" applyAlignment="1" pivotButton="0" quotePrefix="0" xfId="0">
      <alignment horizontal="left"/>
    </xf>
    <xf numFmtId="165" fontId="19" fillId="16" borderId="0" applyAlignment="1" pivotButton="0" quotePrefix="0" xfId="0">
      <alignment horizontal="center"/>
    </xf>
    <xf numFmtId="14" fontId="5" fillId="16" borderId="0" pivotButton="0" quotePrefix="0" xfId="0"/>
    <xf numFmtId="0" fontId="5" fillId="16" borderId="0" pivotButton="0" quotePrefix="0" xfId="0"/>
    <xf numFmtId="4" fontId="5" fillId="16" borderId="0" pivotButton="0" quotePrefix="0" xfId="0"/>
    <xf numFmtId="166" fontId="5" fillId="16" borderId="0" pivotButton="0" quotePrefix="0" xfId="0"/>
    <xf numFmtId="4" fontId="5" fillId="0" borderId="0" pivotButton="0" quotePrefix="0" xfId="0"/>
    <xf numFmtId="165" fontId="5" fillId="16" borderId="0" pivotButton="0" quotePrefix="0" xfId="0"/>
    <xf numFmtId="164" fontId="5" fillId="16" borderId="0" pivotButton="0" quotePrefix="0" xfId="0"/>
    <xf numFmtId="14" fontId="31" fillId="9" borderId="24" applyAlignment="1" pivotButton="0" quotePrefix="0" xfId="0">
      <alignment horizontal="center" vertical="center" wrapText="1"/>
    </xf>
  </cellXfs>
  <cellStyles count="2">
    <cellStyle name="Normal" xfId="0" builtinId="0"/>
    <cellStyle name="Hyperlink" xfId="1" builtinId="8" hidden="0"/>
  </cellStyles>
  <dxfs count="3">
    <dxf>
      <font>
        <b val="1"/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Resumen 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'Informe 2026'!B1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'Informe 2026'!$A$2:$A$10</f>
            </numRef>
          </cat>
          <val>
            <numRef>
              <f>'Informe 2026'!$B$2:$B$10</f>
            </numRef>
          </val>
        </ser>
        <ser>
          <idx val="1"/>
          <order val="1"/>
          <tx>
            <strRef>
              <f>'Informe 2026'!C1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'Informe 2026'!$A$2:$A$10</f>
            </numRef>
          </cat>
          <val>
            <numRef>
              <f>'Informe 2026'!$C$2:$C$10</f>
            </numRef>
          </val>
        </ser>
        <ser>
          <idx val="2"/>
          <order val="2"/>
          <tx>
            <strRef>
              <f>'Informe 2026'!D1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'Informe 2026'!$A$2:$A$10</f>
            </numRef>
          </cat>
          <val>
            <numRef>
              <f>'Informe 2026'!$D$2:$D$10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Período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#'VENTAS'!A1" TargetMode="External" Id="rId1"/><Relationship Type="http://schemas.openxmlformats.org/officeDocument/2006/relationships/hyperlink" Target="#'Compras'!A1" TargetMode="External" Id="rId2"/><Relationship Type="http://schemas.openxmlformats.org/officeDocument/2006/relationships/hyperlink" Target="#'Base de Datos Efectivo'!A1" TargetMode="External" Id="rId3"/><Relationship Type="http://schemas.openxmlformats.org/officeDocument/2006/relationships/hyperlink" Target="#'Base de Datos Tarjetas'!A1" TargetMode="External" Id="rId4"/><Relationship Type="http://schemas.openxmlformats.org/officeDocument/2006/relationships/hyperlink" Target="#'Base de Datos Billeteras Virtua'!A1" TargetMode="External" Id="rId5"/><Relationship Type="http://schemas.openxmlformats.org/officeDocument/2006/relationships/hyperlink" Target="#'Informe 2026'!A1" TargetMode="External" Id="rId6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L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style="78" min="1" max="1"/>
    <col width="32" customWidth="1" style="78" min="2" max="2"/>
    <col width="10" customWidth="1" style="78" min="3" max="3"/>
    <col width="10" customWidth="1" style="78" min="4" max="4"/>
    <col width="19" customWidth="1" style="78" min="5" max="5"/>
    <col width="10" customWidth="1" style="78" min="6" max="6"/>
    <col width="10" customWidth="1" style="78" min="7" max="7"/>
    <col width="32" customWidth="1" style="78" min="8" max="8"/>
    <col width="10" customWidth="1" style="78" min="9" max="9"/>
    <col width="10" customWidth="1" style="78" min="10" max="10"/>
    <col width="32" customWidth="1" style="78" min="11" max="11"/>
    <col width="10" customWidth="1" style="78" min="12" max="12"/>
  </cols>
  <sheetData>
    <row r="1"/>
    <row r="2">
      <c r="B2" s="79" t="inlineStr">
        <is>
          <t>SISTEMA DE GESTIÓN</t>
        </is>
      </c>
      <c r="C2" s="80" t="n"/>
      <c r="D2" s="80" t="n"/>
      <c r="E2" s="80" t="n"/>
      <c r="F2" s="80" t="n"/>
      <c r="G2" s="80" t="n"/>
      <c r="H2" s="80" t="n"/>
      <c r="I2" s="80" t="n"/>
      <c r="J2" s="80" t="n"/>
      <c r="K2" s="80" t="n"/>
      <c r="L2" s="80" t="n"/>
    </row>
    <row r="3">
      <c r="B3" s="80" t="n"/>
      <c r="C3" s="80" t="n"/>
      <c r="D3" s="80" t="n"/>
      <c r="E3" s="80" t="n"/>
      <c r="F3" s="80" t="n"/>
      <c r="G3" s="80" t="n"/>
      <c r="H3" s="80" t="n"/>
      <c r="I3" s="80" t="n"/>
      <c r="J3" s="80" t="n"/>
      <c r="K3" s="80" t="n"/>
      <c r="L3" s="80" t="n"/>
    </row>
    <row r="4">
      <c r="B4" s="81" t="inlineStr">
        <is>
          <t>Panel principal • Resumen y acceso rápido</t>
        </is>
      </c>
    </row>
    <row r="5"/>
    <row r="6">
      <c r="B6" s="82" t="inlineStr">
        <is>
          <t>VENTAS</t>
        </is>
      </c>
      <c r="C6" s="83" t="n"/>
      <c r="E6" s="84" t="inlineStr">
        <is>
          <t>COMPRAS</t>
        </is>
      </c>
      <c r="F6" s="83" t="n"/>
      <c r="H6" s="85" t="inlineStr">
        <is>
          <t>EFECTIVO</t>
        </is>
      </c>
      <c r="I6" s="83" t="n"/>
      <c r="K6" s="86" t="inlineStr">
        <is>
          <t>TARJETAS</t>
        </is>
      </c>
      <c r="L6" s="83" t="n"/>
    </row>
    <row r="7">
      <c r="B7" s="87">
        <f>SUM(VENTAS!A:A)</f>
        <v/>
      </c>
      <c r="C7" s="83" t="n"/>
      <c r="E7" s="87">
        <f>SUM(Compras!A:A)</f>
        <v/>
      </c>
      <c r="F7" s="83" t="n"/>
      <c r="H7" s="87">
        <f>SUM('Base de Datos Efectivo'!A:A)</f>
        <v/>
      </c>
      <c r="I7" s="83" t="n"/>
      <c r="K7" s="87">
        <f>SUM('Base de Datos Tarjetas'!A:A)</f>
        <v/>
      </c>
      <c r="L7" s="83" t="n"/>
    </row>
    <row r="8">
      <c r="B8" s="83" t="n"/>
      <c r="C8" s="83" t="n"/>
      <c r="E8" s="83" t="n"/>
      <c r="F8" s="83" t="n"/>
      <c r="H8" s="83" t="n"/>
      <c r="I8" s="83" t="n"/>
      <c r="K8" s="83" t="n"/>
      <c r="L8" s="83" t="n"/>
    </row>
    <row r="9"/>
    <row r="10"/>
    <row r="11">
      <c r="B11" s="88" t="inlineStr">
        <is>
          <t>ACCESO RÁPIDO</t>
        </is>
      </c>
    </row>
    <row r="12"/>
    <row r="13">
      <c r="B13" s="89" t="inlineStr">
        <is>
          <t>VENTAS</t>
        </is>
      </c>
      <c r="E13" s="89" t="inlineStr">
        <is>
          <t>COMPRAS</t>
        </is>
      </c>
      <c r="H13" s="89" t="inlineStr">
        <is>
          <t>EFECTIVO</t>
        </is>
      </c>
      <c r="K13" s="89" t="inlineStr">
        <is>
          <t>TARJETAS</t>
        </is>
      </c>
    </row>
    <row r="14"/>
    <row r="15"/>
    <row r="16">
      <c r="B16" s="90" t="inlineStr">
        <is>
          <t>BILLETERAS</t>
        </is>
      </c>
      <c r="E16" s="90" t="inlineStr">
        <is>
          <t>INFORMES</t>
        </is>
      </c>
      <c r="H16" s="91" t="inlineStr">
        <is>
          <t>Usá los botones para navegar por el sistema.
Las hojas de base de datos quedan como soporte interno.</t>
        </is>
      </c>
    </row>
    <row r="17"/>
  </sheetData>
  <autoFilter ref="A2:L17"/>
  <mergeCells count="18">
    <mergeCell ref="H16:L17"/>
    <mergeCell ref="B4:L4"/>
    <mergeCell ref="B6:C6"/>
    <mergeCell ref="B13:C14"/>
    <mergeCell ref="E6:F6"/>
    <mergeCell ref="K13:L14"/>
    <mergeCell ref="H6:I6"/>
    <mergeCell ref="K7:L8"/>
    <mergeCell ref="B16:C17"/>
    <mergeCell ref="E16:F17"/>
    <mergeCell ref="B7:C8"/>
    <mergeCell ref="E7:F8"/>
    <mergeCell ref="B11:L11"/>
    <mergeCell ref="H7:I8"/>
    <mergeCell ref="B2:L3"/>
    <mergeCell ref="K6:L6"/>
    <mergeCell ref="H13:I14"/>
    <mergeCell ref="E13:F14"/>
  </mergeCells>
  <hyperlinks>
    <hyperlink xmlns:r="http://schemas.openxmlformats.org/officeDocument/2006/relationships" ref="B13" r:id="rId1"/>
    <hyperlink xmlns:r="http://schemas.openxmlformats.org/officeDocument/2006/relationships" ref="E13" r:id="rId2"/>
    <hyperlink xmlns:r="http://schemas.openxmlformats.org/officeDocument/2006/relationships" ref="H13" r:id="rId3"/>
    <hyperlink xmlns:r="http://schemas.openxmlformats.org/officeDocument/2006/relationships" ref="K13" r:id="rId4"/>
    <hyperlink xmlns:r="http://schemas.openxmlformats.org/officeDocument/2006/relationships" ref="B16" r:id="rId5"/>
    <hyperlink xmlns:r="http://schemas.openxmlformats.org/officeDocument/2006/relationships" ref="E16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75B5"/>
    <outlinePr summaryBelow="0" summaryRight="0"/>
    <pageSetUpPr/>
  </sheetPr>
  <dimension ref="A1:Z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28" customWidth="1" style="78" min="1" max="1"/>
    <col width="10" customWidth="1" style="78" min="2" max="2"/>
    <col width="10" customWidth="1" style="78" min="3" max="3"/>
    <col width="10" customWidth="1" style="78" min="4" max="5"/>
    <col width="17" customWidth="1" style="78" min="5" max="5"/>
    <col width="10" customWidth="1" style="78" min="6" max="6"/>
    <col width="32" customWidth="1" style="78" min="7" max="9"/>
    <col width="32" customWidth="1" style="78" min="8" max="8"/>
    <col width="32" customWidth="1" style="78" min="9" max="9"/>
    <col hidden="1" width="10" customWidth="1" style="78" min="10" max="26"/>
    <col width="10" customWidth="1" style="78" min="11" max="11"/>
    <col width="10" customWidth="1" style="78" min="12" max="12"/>
    <col width="10" customWidth="1" style="78" min="13" max="13"/>
    <col width="10" customWidth="1" style="78" min="14" max="14"/>
    <col width="10" customWidth="1" style="78" min="15" max="15"/>
    <col width="10" customWidth="1" style="78" min="16" max="16"/>
    <col width="10" customWidth="1" style="78" min="17" max="17"/>
    <col width="10" customWidth="1" style="78" min="18" max="18"/>
    <col width="10" customWidth="1" style="78" min="19" max="19"/>
    <col width="10" customWidth="1" style="78" min="20" max="20"/>
    <col width="10" customWidth="1" style="78" min="21" max="21"/>
    <col width="10" customWidth="1" style="78" min="22" max="22"/>
    <col width="10" customWidth="1" style="78" min="23" max="23"/>
    <col width="10" customWidth="1" style="78" min="24" max="24"/>
    <col width="10" customWidth="1" style="78" min="25" max="25"/>
    <col width="10" customWidth="1" style="78" min="26" max="26"/>
  </cols>
  <sheetData>
    <row r="1" ht="30" customHeight="1" s="78">
      <c r="A1" s="79" t="inlineStr">
        <is>
          <t>COBRO TARJETAS</t>
        </is>
      </c>
      <c r="B1" s="92" t="n"/>
      <c r="C1" s="92" t="n"/>
      <c r="D1" s="93" t="n"/>
      <c r="E1" s="39" t="n"/>
      <c r="F1" s="39" t="n"/>
      <c r="G1" s="79" t="inlineStr">
        <is>
          <t>Ventas Diarias</t>
        </is>
      </c>
      <c r="H1" s="94">
        <f>TODAY()</f>
        <v/>
      </c>
      <c r="I1" s="95">
        <f>SUMIF('Base de Datos Tarjetas'!A:A,TODAY(),'Base de Datos Tarjetas'!C:C)
+SUMIF('Base de Datos Billeteras Virtua'!A:A,TODAY(),'Base de Datos Billeteras Virtua'!C:C)
+SUMIF('Base de Datos Efectivo'!A:A,TODAY(),'Base de Datos Efectivo'!C:C)</f>
        <v/>
      </c>
      <c r="J1" s="19" t="n"/>
      <c r="K1" s="19" t="n"/>
      <c r="L1" s="19" t="n"/>
      <c r="M1" s="19" t="n"/>
      <c r="N1" s="19" t="n"/>
      <c r="O1" s="19" t="n"/>
      <c r="P1" s="19" t="n"/>
      <c r="Q1" s="19" t="n"/>
      <c r="R1" s="19" t="n"/>
      <c r="S1" s="19" t="n"/>
      <c r="T1" s="19" t="n"/>
      <c r="U1" s="19" t="n"/>
      <c r="V1" s="19" t="n"/>
      <c r="W1" s="19" t="n"/>
      <c r="X1" s="19" t="n"/>
      <c r="Y1" s="19" t="n"/>
      <c r="Z1" s="19" t="n"/>
    </row>
    <row r="2">
      <c r="A2" s="20" t="n"/>
      <c r="B2" s="26" t="n"/>
      <c r="C2" s="26" t="n"/>
      <c r="D2" s="45" t="n"/>
      <c r="E2" s="26" t="n"/>
      <c r="F2" s="26" t="n"/>
      <c r="G2" s="26" t="n"/>
      <c r="H2" s="26" t="n"/>
      <c r="I2" s="26" t="n"/>
    </row>
    <row r="3">
      <c r="A3" s="23" t="inlineStr">
        <is>
          <t>Fecha</t>
        </is>
      </c>
      <c r="B3" s="24" t="inlineStr">
        <is>
          <t>Tarjeta</t>
        </is>
      </c>
      <c r="C3" s="24" t="inlineStr">
        <is>
          <t>Monto</t>
        </is>
      </c>
      <c r="D3" s="25" t="inlineStr">
        <is>
          <t>Accion</t>
        </is>
      </c>
      <c r="E3" s="26" t="inlineStr">
        <is>
          <t xml:space="preserve"> </t>
        </is>
      </c>
      <c r="F3" s="26" t="n"/>
      <c r="G3" s="27" t="inlineStr">
        <is>
          <t>COMPRAS MENSUALES</t>
        </is>
      </c>
      <c r="H3" s="28" t="n"/>
      <c r="I3" s="29" t="inlineStr">
        <is>
          <t>VENTAS MENSUALES</t>
        </is>
      </c>
    </row>
    <row r="4" ht="33.75" customHeight="1" s="78">
      <c r="A4" s="30" t="n"/>
      <c r="B4" s="31" t="n"/>
      <c r="C4" s="32" t="n"/>
      <c r="D4" s="33" t="n"/>
      <c r="E4" s="96" t="inlineStr">
        <is>
          <t xml:space="preserve"> </t>
        </is>
      </c>
      <c r="F4" s="35" t="n"/>
      <c r="G4" s="97">
        <f>SUMIFS(Compras!C:C,Compras!A:A,"&gt;="&amp;H6,Compras!A:A,"&lt;="&amp;I6)</f>
        <v/>
      </c>
      <c r="H4" s="37" t="n"/>
      <c r="I4" s="97">
        <f>G9</f>
        <v/>
      </c>
      <c r="J4" s="38" t="n"/>
      <c r="K4" s="38" t="n"/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  <c r="Y4" s="38" t="n"/>
      <c r="Z4" s="38" t="n"/>
    </row>
    <row r="5">
      <c r="A5" s="26" t="n"/>
      <c r="B5" s="26" t="n"/>
      <c r="C5" s="26" t="n"/>
      <c r="D5" s="26" t="n"/>
      <c r="E5" s="26" t="n"/>
      <c r="F5" s="26" t="n"/>
      <c r="G5" s="26" t="n"/>
      <c r="H5" s="26" t="n"/>
      <c r="I5" s="26" t="n"/>
    </row>
    <row r="6" ht="30" customHeight="1" s="78">
      <c r="A6" s="98" t="inlineStr">
        <is>
          <t>COBRO BILLETERAS VIRTUALES</t>
        </is>
      </c>
      <c r="B6" s="92" t="n"/>
      <c r="C6" s="92" t="n"/>
      <c r="D6" s="93" t="n"/>
      <c r="E6" s="39" t="n"/>
      <c r="F6" s="39" t="n"/>
      <c r="G6" s="15" t="inlineStr">
        <is>
          <t>Ventas Mensuales</t>
        </is>
      </c>
      <c r="H6" s="40" t="n">
        <v>46235</v>
      </c>
      <c r="I6" s="40" t="n">
        <v>46264</v>
      </c>
      <c r="J6" s="19" t="n"/>
      <c r="K6" s="19" t="n"/>
      <c r="L6" s="19" t="n"/>
      <c r="M6" s="19" t="n"/>
      <c r="N6" s="19" t="n"/>
      <c r="O6" s="19" t="n"/>
      <c r="P6" s="19" t="n"/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19" t="n"/>
    </row>
    <row r="7">
      <c r="A7" s="20" t="n"/>
      <c r="B7" s="26" t="n"/>
      <c r="C7" s="26" t="n"/>
      <c r="D7" s="45" t="n"/>
      <c r="E7" s="26" t="inlineStr">
        <is>
          <t xml:space="preserve"> </t>
        </is>
      </c>
      <c r="F7" s="26" t="n"/>
      <c r="G7" s="26" t="n"/>
      <c r="H7" s="26" t="n"/>
      <c r="I7" s="26" t="n"/>
    </row>
    <row r="8">
      <c r="A8" s="23" t="inlineStr">
        <is>
          <t>Fecha</t>
        </is>
      </c>
      <c r="B8" s="24" t="inlineStr">
        <is>
          <t>Medio</t>
        </is>
      </c>
      <c r="C8" s="24" t="inlineStr">
        <is>
          <t>Monto</t>
        </is>
      </c>
      <c r="D8" s="25" t="inlineStr">
        <is>
          <t>Accion</t>
        </is>
      </c>
      <c r="E8" s="26" t="n"/>
      <c r="F8" s="26" t="n"/>
      <c r="G8" s="41" t="inlineStr">
        <is>
          <t>Ventas Tarjeta</t>
        </is>
      </c>
      <c r="H8" s="41" t="inlineStr">
        <is>
          <t>Ventas Bille. Virt</t>
        </is>
      </c>
      <c r="I8" s="41" t="inlineStr">
        <is>
          <t>Ventas Efectivo</t>
        </is>
      </c>
    </row>
    <row r="9" ht="33.75" customHeight="1" s="78">
      <c r="A9" s="30" t="n"/>
      <c r="B9" s="31" t="n"/>
      <c r="C9" s="32" t="n"/>
      <c r="D9" s="33" t="n"/>
      <c r="E9" s="35" t="n"/>
      <c r="F9" s="35" t="inlineStr">
        <is>
          <t xml:space="preserve">    </t>
        </is>
      </c>
      <c r="G9" s="42">
        <f>SUMIFS('Base de Datos Tarjetas'!C:C,'Base de Datos Tarjetas'!A:A,"&gt;="&amp;H6,'Base de Datos Tarjetas'!A:A,"&lt;="&amp;I6)</f>
        <v/>
      </c>
      <c r="H9" s="42">
        <f>SUMIFS('Base de Datos Billeteras Virtua'!C:C,'Base de Datos Billeteras Virtua'!A:A,"&gt;="&amp;H6,'Base de Datos Billeteras Virtua'!A:A,"&lt;="&amp;I6)</f>
        <v/>
      </c>
      <c r="I9" s="42">
        <f>SUMIFS('Base de Datos Efectivo'!C:C,'Base de Datos Efectivo'!A:A,"&gt;="&amp;H6,'Base de Datos Efectivo'!A:A,"&lt;="&amp;I6)</f>
        <v/>
      </c>
      <c r="J9" s="38" t="n"/>
      <c r="K9" s="38" t="n"/>
      <c r="L9" s="38" t="n"/>
      <c r="M9" s="38" t="n"/>
      <c r="N9" s="38" t="n"/>
      <c r="O9" s="38" t="n"/>
      <c r="P9" s="38" t="n"/>
      <c r="Q9" s="38" t="n"/>
      <c r="R9" s="38" t="n"/>
      <c r="S9" s="38" t="n"/>
      <c r="T9" s="38" t="n"/>
      <c r="U9" s="38" t="n"/>
      <c r="V9" s="38" t="n"/>
      <c r="W9" s="38" t="n"/>
      <c r="X9" s="38" t="n"/>
      <c r="Y9" s="38" t="n"/>
      <c r="Z9" s="38" t="n"/>
    </row>
    <row r="10">
      <c r="A10" s="26" t="n"/>
      <c r="B10" s="26" t="n"/>
      <c r="C10" s="44" t="n"/>
      <c r="D10" s="39" t="n"/>
      <c r="E10" s="26" t="n"/>
      <c r="F10" s="26" t="n"/>
      <c r="G10" s="26" t="n"/>
      <c r="H10" s="26" t="n"/>
      <c r="I10" s="26" t="n"/>
    </row>
    <row r="11" ht="30" customHeight="1" s="78">
      <c r="A11" s="98" t="inlineStr">
        <is>
          <t>COBRO EFECTIVO</t>
        </is>
      </c>
      <c r="B11" s="92" t="n"/>
      <c r="C11" s="92" t="n"/>
      <c r="D11" s="93" t="n"/>
      <c r="E11" s="39" t="n"/>
      <c r="F11" s="39" t="n"/>
      <c r="G11" s="15" t="inlineStr">
        <is>
          <t>Tope Billeteras</t>
        </is>
      </c>
      <c r="H11" s="39" t="n"/>
      <c r="I11" s="3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</row>
    <row r="12">
      <c r="A12" s="20" t="n"/>
      <c r="B12" s="26" t="n"/>
      <c r="C12" s="26" t="n"/>
      <c r="D12" s="99" t="inlineStr">
        <is>
          <t xml:space="preserve">   </t>
        </is>
      </c>
      <c r="E12" s="26" t="n"/>
      <c r="F12" s="26" t="n"/>
      <c r="G12" s="26" t="n"/>
      <c r="H12" s="26" t="n"/>
      <c r="I12" s="26" t="n"/>
    </row>
    <row r="13">
      <c r="A13" s="23" t="inlineStr">
        <is>
          <t>Fecha</t>
        </is>
      </c>
      <c r="B13" s="24" t="inlineStr">
        <is>
          <t>Medio</t>
        </is>
      </c>
      <c r="C13" s="24" t="inlineStr">
        <is>
          <t>Monto</t>
        </is>
      </c>
      <c r="D13" s="25" t="inlineStr">
        <is>
          <t>Accion</t>
        </is>
      </c>
      <c r="E13" s="26" t="n"/>
      <c r="F13" s="26" t="n"/>
      <c r="G13" s="46" t="inlineStr">
        <is>
          <t>Personal Pay</t>
        </is>
      </c>
      <c r="H13" s="47" t="inlineStr">
        <is>
          <t>Mercado Pago</t>
        </is>
      </c>
      <c r="I13" s="48" t="inlineStr">
        <is>
          <t>Naranja</t>
        </is>
      </c>
    </row>
    <row r="14" ht="33.75" customHeight="1" s="78">
      <c r="A14" s="30" t="n"/>
      <c r="B14" s="31" t="n"/>
      <c r="C14" s="50" t="n"/>
      <c r="D14" s="33" t="n"/>
      <c r="E14" s="35" t="n"/>
      <c r="F14" s="35" t="n"/>
      <c r="G14" s="100">
        <f>SUMIFS('Base de Datos Billeteras Virtua'!C:C,'Base de Datos Billeteras Virtua'!A:A,"&gt;="&amp;$H$6,'Base de Datos Billeteras Virtua'!A:A,"&lt;="&amp;$I$6,'Base de Datos Billeteras Virtua'!B:B,"Personal Pay")
</f>
        <v/>
      </c>
      <c r="H14" s="100">
        <f>SUMIFS('Base de Datos Billeteras Virtua'!C:C,'Base de Datos Billeteras Virtua'!A:A,"&gt;="&amp;$H$6,'Base de Datos Billeteras Virtua'!A:A,"&lt;="&amp;$I$6,'Base de Datos Billeteras Virtua'!B:B,"Mercado Pago")</f>
        <v/>
      </c>
      <c r="I14" s="100">
        <f>SUMIFS('Base de Datos Billeteras Virtua'!C:C,'Base de Datos Billeteras Virtua'!A:A,"&gt;="&amp;$H$6,'Base de Datos Billeteras Virtua'!A:A,"&lt;="&amp;$I$6,'Base de Datos Billeteras Virtua'!B:B,"Naranja")</f>
        <v/>
      </c>
      <c r="J14" s="38" t="n"/>
      <c r="K14" s="38" t="n"/>
      <c r="L14" s="38" t="n"/>
      <c r="M14" s="38" t="n"/>
      <c r="N14" s="38" t="n"/>
      <c r="O14" s="38" t="n"/>
      <c r="P14" s="38" t="n"/>
      <c r="Q14" s="38" t="n"/>
      <c r="R14" s="38" t="n"/>
      <c r="S14" s="38" t="n"/>
      <c r="T14" s="38" t="n"/>
      <c r="U14" s="38" t="n"/>
      <c r="V14" s="38" t="n"/>
      <c r="W14" s="38" t="n"/>
      <c r="X14" s="38" t="n"/>
      <c r="Y14" s="38" t="n"/>
      <c r="Z14" s="38" t="n"/>
    </row>
    <row r="15">
      <c r="A15" s="26" t="n"/>
      <c r="B15" s="26" t="n"/>
      <c r="C15" s="26" t="n"/>
      <c r="D15" s="26" t="n"/>
      <c r="E15" s="26" t="n"/>
      <c r="F15" s="26" t="n"/>
      <c r="G15" s="54" t="inlineStr">
        <is>
          <t>Cantidad de Operaciones</t>
        </is>
      </c>
      <c r="H15" s="55" t="inlineStr">
        <is>
          <t>Cantidad de Operaciones</t>
        </is>
      </c>
      <c r="I15" s="56" t="inlineStr">
        <is>
          <t>Cantidad de Operaciones</t>
        </is>
      </c>
    </row>
    <row r="16" ht="22.5" customHeight="1" s="78">
      <c r="A16" s="57" t="n"/>
      <c r="B16" s="57" t="n"/>
      <c r="C16" s="57" t="n"/>
      <c r="D16" s="57" t="n"/>
      <c r="E16" s="57" t="n"/>
      <c r="F16" s="57" t="n"/>
      <c r="G16" s="101">
        <f>COUNTIFS('Base de Datos Billeteras Virtua'!A:A,"&gt;="&amp;$H$6,'Base de Datos Billeteras Virtua'!A:A,"&lt;="&amp;$I$6,'Base de Datos Billeteras Virtua'!B:B,"Personal Pay")</f>
        <v/>
      </c>
      <c r="H16" s="101">
        <f>COUNTIFS('Base de Datos Billeteras Virtua'!A:A,"&gt;="&amp;$H$6,'Base de Datos Billeteras Virtua'!A:A,"&lt;="&amp;$I$6,'Base de Datos Billeteras Virtua'!B:B,"Mercado Pago")</f>
        <v/>
      </c>
      <c r="I16" s="101">
        <f>COUNTIFS('Base de Datos Billeteras Virtua'!A:A,"&gt;="&amp;$H$6,'Base de Datos Billeteras Virtua'!A:A,"&lt;="&amp;$I$6,'Base de Datos Billeteras Virtua'!B:B,"Naranja")</f>
        <v/>
      </c>
      <c r="J16" s="60" t="n"/>
      <c r="K16" s="60" t="n"/>
      <c r="L16" s="60" t="n"/>
      <c r="M16" s="60" t="n"/>
      <c r="N16" s="60" t="n"/>
      <c r="O16" s="60" t="n"/>
      <c r="P16" s="60" t="n"/>
      <c r="Q16" s="60" t="n"/>
      <c r="R16" s="60" t="n"/>
      <c r="S16" s="60" t="n"/>
      <c r="T16" s="60" t="n"/>
      <c r="U16" s="60" t="n"/>
      <c r="V16" s="60" t="n"/>
      <c r="W16" s="60" t="n"/>
      <c r="X16" s="60" t="n"/>
      <c r="Y16" s="60" t="n"/>
      <c r="Z16" s="60" t="n"/>
    </row>
    <row r="17">
      <c r="A17" s="26" t="n"/>
      <c r="B17" s="26" t="n"/>
      <c r="C17" s="26" t="n"/>
      <c r="D17" s="26" t="inlineStr">
        <is>
          <t xml:space="preserve"> </t>
        </is>
      </c>
      <c r="E17" s="26" t="n"/>
      <c r="F17" s="26" t="n"/>
      <c r="G17" s="26" t="n"/>
      <c r="H17" s="26" t="n"/>
      <c r="I17" s="26" t="n"/>
    </row>
    <row r="18">
      <c r="A18" s="26" t="n"/>
      <c r="B18" s="26" t="n"/>
      <c r="C18" s="26" t="n"/>
      <c r="D18" s="26" t="n"/>
      <c r="E18" s="26" t="n"/>
      <c r="F18" s="26" t="n"/>
      <c r="G18" s="61" t="inlineStr">
        <is>
          <t>FACUNDO</t>
        </is>
      </c>
    </row>
    <row r="19">
      <c r="A19" s="26" t="n"/>
      <c r="B19" s="26" t="n"/>
      <c r="C19" s="26" t="n"/>
      <c r="D19" s="26" t="n"/>
      <c r="E19" s="26" t="n"/>
      <c r="F19" s="26" t="n"/>
      <c r="G19" s="46" t="inlineStr">
        <is>
          <t>Personal Pay</t>
        </is>
      </c>
      <c r="H19" s="47" t="inlineStr">
        <is>
          <t>Mercado Pago</t>
        </is>
      </c>
      <c r="I19" s="62" t="inlineStr">
        <is>
          <t>Brubank</t>
        </is>
      </c>
    </row>
    <row r="20">
      <c r="A20" s="26" t="n"/>
      <c r="B20" s="26" t="n"/>
      <c r="C20" s="26" t="n"/>
      <c r="D20" s="26" t="n"/>
      <c r="E20" s="26" t="n"/>
      <c r="F20" s="102" t="inlineStr">
        <is>
          <t xml:space="preserve"> </t>
        </is>
      </c>
      <c r="G20" s="100">
        <f>SUMIFS('Base de Datos Billeteras Virtua'!C:C,'Base de Datos Billeteras Virtua'!A:A,"&gt;="&amp;$H$6,'Base de Datos Billeteras Virtua'!A:A,"&lt;="&amp;$I$6,'Base de Datos Billeteras Virtua'!B:B,"Personal Pay  - Facundo")
</f>
        <v/>
      </c>
      <c r="H20" s="100">
        <f>SUMIFS('Base de Datos Billeteras Virtua'!C:C,'Base de Datos Billeteras Virtua'!A:A,"&gt;="&amp;$H$6,'Base de Datos Billeteras Virtua'!A:A,"&lt;="&amp;$I$6,'Base de Datos Billeteras Virtua'!B:B,"Mercado Pago - Facundo")</f>
        <v/>
      </c>
      <c r="I20" s="100">
        <f>SUMIFS('Base de Datos Billeteras Virtua'!C:C,'Base de Datos Billeteras Virtua'!A:A,"&gt;="&amp;$H$6,'Base de Datos Billeteras Virtua'!A:A,"&lt;="&amp;$I$6,'Base de Datos Billeteras Virtua'!B:B,"Brubank  -  Facundo")</f>
        <v/>
      </c>
    </row>
    <row r="21">
      <c r="A21" s="26" t="n"/>
      <c r="B21" s="26" t="n"/>
      <c r="C21" s="26" t="n"/>
      <c r="D21" s="26" t="inlineStr">
        <is>
          <t xml:space="preserve"> </t>
        </is>
      </c>
      <c r="E21" s="26" t="n"/>
      <c r="F21" s="26" t="n"/>
      <c r="G21" s="54" t="inlineStr">
        <is>
          <t>Cantidad de Operaciones</t>
        </is>
      </c>
      <c r="H21" s="55" t="inlineStr">
        <is>
          <t>Cantidad de Operaciones</t>
        </is>
      </c>
      <c r="I21" s="63" t="inlineStr">
        <is>
          <t>Cantidad de Operaciones</t>
        </is>
      </c>
    </row>
    <row r="22">
      <c r="A22" s="26" t="n"/>
      <c r="B22" s="26" t="n"/>
      <c r="C22" s="26" t="n"/>
      <c r="D22" s="26" t="n"/>
      <c r="E22" s="26" t="n"/>
      <c r="F22" s="26" t="n"/>
      <c r="G22" s="101">
        <f>COUNTIFS('Base de Datos Billeteras Virtua'!A:A,"&gt;="&amp;$H$6,'Base de Datos Billeteras Virtua'!A:A,"&lt;="&amp;$I$6,'Base de Datos Billeteras Virtua'!B:B,"Personal Pay  - Facundo")</f>
        <v/>
      </c>
      <c r="H22" s="101">
        <f>COUNTIFS('Base de Datos Billeteras Virtua'!A:A,"&gt;="&amp;$H$6,'Base de Datos Billeteras Virtua'!A:A,"&lt;="&amp;$I$6,'Base de Datos Billeteras Virtua'!B:B,"Mercado Pago - Facundo")</f>
        <v/>
      </c>
      <c r="I22" s="101">
        <f>COUNTIFS('Base de Datos Billeteras Virtua'!A:A,"&gt;="&amp;$H$6,'Base de Datos Billeteras Virtua'!A:A,"&lt;="&amp;$I$6,'Base de Datos Billeteras Virtua'!B:B,"Brubank  -  Facundo")</f>
        <v/>
      </c>
    </row>
    <row r="23">
      <c r="A23" s="26" t="n"/>
      <c r="B23" s="26" t="n"/>
      <c r="C23" s="26" t="n"/>
      <c r="D23" s="26" t="n"/>
      <c r="E23" s="26" t="n"/>
      <c r="F23" s="26" t="n"/>
      <c r="G23" s="66" t="n"/>
      <c r="H23" s="66" t="n"/>
      <c r="I23" s="66" t="n"/>
    </row>
    <row r="24">
      <c r="A24" s="98" t="inlineStr">
        <is>
          <t xml:space="preserve">COMPRAS </t>
        </is>
      </c>
      <c r="B24" s="92" t="n"/>
      <c r="C24" s="92" t="n"/>
      <c r="D24" s="93" t="n"/>
      <c r="E24" s="26" t="n"/>
      <c r="F24" s="26" t="n"/>
      <c r="G24" s="66" t="n"/>
      <c r="H24" s="66" t="n"/>
      <c r="I24" s="66" t="n"/>
    </row>
    <row r="25">
      <c r="A25" s="20" t="n"/>
      <c r="B25" s="26" t="n"/>
      <c r="C25" s="26" t="n"/>
      <c r="D25" s="45" t="n"/>
      <c r="E25" s="26" t="n"/>
      <c r="F25" s="26" t="n"/>
      <c r="G25" s="66" t="n"/>
      <c r="H25" s="66" t="n"/>
      <c r="I25" s="66" t="n"/>
    </row>
    <row r="26">
      <c r="A26" s="23" t="inlineStr">
        <is>
          <t>Fecha</t>
        </is>
      </c>
      <c r="B26" s="24" t="inlineStr">
        <is>
          <t>Medio</t>
        </is>
      </c>
      <c r="C26" s="24" t="inlineStr">
        <is>
          <t>Monto</t>
        </is>
      </c>
      <c r="D26" s="25" t="inlineStr">
        <is>
          <t>CUIT</t>
        </is>
      </c>
      <c r="E26" s="25" t="inlineStr">
        <is>
          <t>TIPO DE FACTURA</t>
        </is>
      </c>
      <c r="F26" s="25" t="inlineStr">
        <is>
          <t>Accion</t>
        </is>
      </c>
      <c r="G26" s="103" t="inlineStr">
        <is>
          <t>Facturacion diaria</t>
        </is>
      </c>
      <c r="H26" s="66" t="n"/>
      <c r="I26" s="104">
        <f>SUMIF('Base de Datos Tarjetas'!A:A,TODAY(),'Base de Datos Tarjetas'!C:C)</f>
        <v/>
      </c>
    </row>
    <row r="27" ht="33.75" customHeight="1" s="78">
      <c r="A27" s="68" t="n">
        <v>46224</v>
      </c>
      <c r="B27" s="69" t="n"/>
      <c r="C27" s="70" t="n"/>
      <c r="D27" s="71" t="n"/>
      <c r="E27" s="73" t="n"/>
      <c r="F27" s="73" t="n"/>
      <c r="G27" s="66" t="n"/>
      <c r="H27" s="74" t="inlineStr">
        <is>
          <t>Resumen Periodo</t>
        </is>
      </c>
      <c r="I27" s="75">
        <f>SUM(G9:I9)</f>
        <v/>
      </c>
    </row>
  </sheetData>
  <autoFilter ref="A1:Z27"/>
  <mergeCells count="5">
    <mergeCell ref="A1:D1"/>
    <mergeCell ref="A6:D6"/>
    <mergeCell ref="G18:I18"/>
    <mergeCell ref="A24:D24"/>
    <mergeCell ref="A11:D11"/>
  </mergeCells>
  <conditionalFormatting sqref="G20">
    <cfRule type="cellIs" priority="1" operator="greaterThan" dxfId="0">
      <formula>1000000</formula>
    </cfRule>
  </conditionalFormatting>
  <conditionalFormatting sqref="H20">
    <cfRule type="cellIs" priority="2" operator="greaterThan" dxfId="0">
      <formula>1000000</formula>
    </cfRule>
  </conditionalFormatting>
  <conditionalFormatting sqref="I20">
    <cfRule type="cellIs" priority="3" operator="greaterThan" dxfId="0">
      <formula>1000000</formula>
    </cfRule>
  </conditionalFormatting>
  <conditionalFormatting sqref="G16">
    <cfRule type="cellIs" priority="4" operator="greaterThan" dxfId="0">
      <formula>29</formula>
    </cfRule>
  </conditionalFormatting>
  <conditionalFormatting sqref="H16">
    <cfRule type="cellIs" priority="5" operator="greaterThan" dxfId="0">
      <formula>29</formula>
    </cfRule>
  </conditionalFormatting>
  <conditionalFormatting sqref="I16">
    <cfRule type="cellIs" priority="6" operator="greaterThan" dxfId="0">
      <formula>29</formula>
    </cfRule>
  </conditionalFormatting>
  <conditionalFormatting sqref="G14">
    <cfRule type="cellIs" priority="7" operator="greaterThan" dxfId="1">
      <formula>1000000</formula>
    </cfRule>
  </conditionalFormatting>
  <conditionalFormatting sqref="H14">
    <cfRule type="cellIs" priority="8" operator="greaterThan" dxfId="2">
      <formula>1000000</formula>
    </cfRule>
  </conditionalFormatting>
  <conditionalFormatting sqref="I14">
    <cfRule type="cellIs" priority="9" operator="greaterThan" dxfId="1">
      <formula>1000000</formula>
    </cfRule>
  </conditionalFormatting>
  <conditionalFormatting sqref="G22:G27">
    <cfRule type="cellIs" priority="10" operator="greaterThan" dxfId="1">
      <formula>29</formula>
    </cfRule>
  </conditionalFormatting>
  <conditionalFormatting sqref="G26 H22:H27">
    <cfRule type="cellIs" priority="11" operator="greaterThan" dxfId="1">
      <formula>29</formula>
    </cfRule>
  </conditionalFormatting>
  <dataValidations count="5">
    <dataValidation sqref="B9" showDropDown="0" showInputMessage="0" showErrorMessage="1" allowBlank="1" type="list">
      <formula1>"Personal Pay,Naranja,Mercado Pago,Brubank  -  Facundo,Personal Pay  - Facundo,Mercado Pago - Facundo"</formula1>
    </dataValidation>
    <dataValidation sqref="B4" showDropDown="0" showInputMessage="0" showErrorMessage="1" allowBlank="1" type="list">
      <formula1>"DATA,NARANJA,VISA CREDITO,VISA DEBITO,MASTERCARD CREDITO,MASTERCARD DEBITO,FIEL"</formula1>
    </dataValidation>
    <dataValidation sqref="B14" showDropDown="0" showInputMessage="0" showErrorMessage="1" allowBlank="1" type="list">
      <formula1>"Efectivo,GO Cuota"</formula1>
    </dataValidation>
    <dataValidation sqref="E27" showDropDown="0" showInputMessage="0" showErrorMessage="1" allowBlank="1" type="list">
      <formula1>"A,B,C"</formula1>
    </dataValidation>
    <dataValidation sqref="B27" showDropDown="0" showInputMessage="0" showErrorMessage="1" allowBlank="1" type="list">
      <formula1>"Efectivo,Transferencia"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0" summaryRight="0"/>
    <pageSetUpPr/>
  </sheetPr>
  <dimension ref="A1:F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21" customWidth="1" style="78" min="1" max="1"/>
    <col width="15" customWidth="1" style="78" min="2" max="2"/>
    <col width="11" customWidth="1" style="78" min="3" max="3"/>
    <col width="16" customWidth="1" style="78" min="4" max="4"/>
    <col width="17" customWidth="1" style="78" min="5" max="6"/>
    <col width="28" customWidth="1" style="78" min="6" max="6"/>
  </cols>
  <sheetData>
    <row r="1">
      <c r="A1" s="79" t="inlineStr">
        <is>
          <t>Fecha</t>
        </is>
      </c>
      <c r="B1" s="79" t="inlineStr">
        <is>
          <t>Medio</t>
        </is>
      </c>
      <c r="C1" s="79" t="inlineStr">
        <is>
          <t>Monto</t>
        </is>
      </c>
      <c r="D1" s="79" t="inlineStr">
        <is>
          <t>CUIT</t>
        </is>
      </c>
      <c r="E1" s="79" t="inlineStr">
        <is>
          <t>TIPO DE FACTURA</t>
        </is>
      </c>
      <c r="F1" s="79" t="inlineStr">
        <is>
          <t>Registro Movimiento</t>
        </is>
      </c>
    </row>
    <row r="2">
      <c r="A2" s="105" t="n">
        <v>45947</v>
      </c>
      <c r="B2" s="106" t="inlineStr">
        <is>
          <t>Transferencia</t>
        </is>
      </c>
      <c r="C2" s="107" t="n">
        <v>600329.4</v>
      </c>
      <c r="D2" s="107" t="n">
        <v>20170517564</v>
      </c>
      <c r="E2" s="106" t="inlineStr">
        <is>
          <t>A</t>
        </is>
      </c>
      <c r="F2" s="108" t="n">
        <v>45955.83033892361</v>
      </c>
    </row>
    <row r="3">
      <c r="A3" s="53" t="n">
        <v>45947</v>
      </c>
      <c r="B3" s="77" t="inlineStr">
        <is>
          <t>Transferencia</t>
        </is>
      </c>
      <c r="C3" s="109" t="n">
        <v>300000</v>
      </c>
      <c r="D3" s="77" t="inlineStr">
        <is>
          <t>20/25319878/3</t>
        </is>
      </c>
      <c r="E3" s="77" t="inlineStr">
        <is>
          <t>C</t>
        </is>
      </c>
      <c r="F3" s="16" t="n">
        <v>45958.93852072916</v>
      </c>
    </row>
    <row r="4">
      <c r="A4" s="105" t="n">
        <v>45947</v>
      </c>
      <c r="B4" s="106" t="inlineStr">
        <is>
          <t>Efectivo</t>
        </is>
      </c>
      <c r="C4" s="107" t="n">
        <v>849420</v>
      </c>
      <c r="D4" s="107" t="n">
        <v>23452554119</v>
      </c>
      <c r="E4" s="106" t="inlineStr">
        <is>
          <t>A</t>
        </is>
      </c>
      <c r="F4" s="108" t="n">
        <v>45967.82120884259</v>
      </c>
    </row>
    <row r="5">
      <c r="A5" s="53" t="n">
        <v>45947</v>
      </c>
      <c r="B5" s="77" t="inlineStr">
        <is>
          <t>Efectivo</t>
        </is>
      </c>
      <c r="C5" s="109" t="n">
        <v>1573000</v>
      </c>
      <c r="D5" s="109" t="n">
        <v>234525544119</v>
      </c>
      <c r="E5" s="77" t="inlineStr">
        <is>
          <t>A</t>
        </is>
      </c>
      <c r="F5" s="16" t="n">
        <v>45967.82274203704</v>
      </c>
    </row>
    <row r="6">
      <c r="A6" s="105" t="n">
        <v>46050</v>
      </c>
      <c r="B6" s="106" t="inlineStr">
        <is>
          <t>Transferencia</t>
        </is>
      </c>
      <c r="C6" s="107" t="n">
        <v>229500</v>
      </c>
      <c r="D6" s="107" t="n">
        <v>20253198789</v>
      </c>
      <c r="E6" s="106" t="inlineStr">
        <is>
          <t>C</t>
        </is>
      </c>
      <c r="F6" s="108" t="n">
        <v>46050.51816245371</v>
      </c>
    </row>
    <row r="7">
      <c r="A7" s="53" t="n">
        <v>46056</v>
      </c>
      <c r="B7" s="77" t="inlineStr">
        <is>
          <t>Transferencia</t>
        </is>
      </c>
      <c r="C7" s="109" t="n">
        <v>282000</v>
      </c>
      <c r="D7" s="77" t="inlineStr">
        <is>
          <t>20-25319878-9</t>
        </is>
      </c>
      <c r="E7" s="77" t="inlineStr">
        <is>
          <t>C</t>
        </is>
      </c>
      <c r="F7" s="16" t="n">
        <v>46066.91104053241</v>
      </c>
    </row>
    <row r="8">
      <c r="A8" s="105" t="n">
        <v>46056</v>
      </c>
      <c r="B8" s="106" t="inlineStr">
        <is>
          <t>Transferencia</t>
        </is>
      </c>
      <c r="C8" s="107" t="n">
        <v>238000</v>
      </c>
      <c r="D8" s="106" t="inlineStr">
        <is>
          <t>20-25319878-9</t>
        </is>
      </c>
      <c r="E8" s="106" t="inlineStr">
        <is>
          <t>C</t>
        </is>
      </c>
      <c r="F8" s="108" t="n">
        <v>46066.91174362269</v>
      </c>
    </row>
    <row r="9">
      <c r="A9" s="53" t="n">
        <v>46056</v>
      </c>
      <c r="B9" s="77" t="inlineStr">
        <is>
          <t>Transferencia</t>
        </is>
      </c>
      <c r="C9" s="109" t="n">
        <v>214510</v>
      </c>
      <c r="D9" s="77" t="inlineStr">
        <is>
          <t>20-25319878-9</t>
        </is>
      </c>
      <c r="E9" s="77" t="inlineStr">
        <is>
          <t>C</t>
        </is>
      </c>
      <c r="F9" s="16" t="n">
        <v>46066.91234899306</v>
      </c>
    </row>
    <row r="10">
      <c r="A10" s="105" t="n">
        <v>46097</v>
      </c>
      <c r="B10" s="106" t="inlineStr">
        <is>
          <t>Transferencia</t>
        </is>
      </c>
      <c r="C10" s="107" t="n">
        <v>214443.46</v>
      </c>
      <c r="D10" s="107" t="n">
        <v>30715674566</v>
      </c>
      <c r="E10" s="106" t="inlineStr">
        <is>
          <t>A</t>
        </is>
      </c>
      <c r="F10" s="108" t="n">
        <v>46102.91246137732</v>
      </c>
    </row>
    <row r="11">
      <c r="A11" s="53" t="n">
        <v>46097</v>
      </c>
      <c r="B11" s="77" t="inlineStr">
        <is>
          <t>Transferencia</t>
        </is>
      </c>
      <c r="C11" s="109" t="n">
        <v>400000</v>
      </c>
      <c r="D11" s="109" t="n">
        <v>33714473889</v>
      </c>
      <c r="E11" s="77" t="inlineStr">
        <is>
          <t>A</t>
        </is>
      </c>
      <c r="F11" s="16" t="n">
        <v>46157.4629272801</v>
      </c>
    </row>
    <row r="12">
      <c r="A12" s="105" t="n">
        <v>46164</v>
      </c>
      <c r="B12" s="106" t="inlineStr">
        <is>
          <t>Efectivo</t>
        </is>
      </c>
      <c r="C12" s="107" t="n">
        <v>156000</v>
      </c>
      <c r="D12" s="106" t="inlineStr">
        <is>
          <t>20/25319878/9</t>
        </is>
      </c>
      <c r="E12" s="106" t="inlineStr">
        <is>
          <t>C</t>
        </is>
      </c>
      <c r="F12" s="108" t="n">
        <v>46164.90821637731</v>
      </c>
    </row>
    <row r="13">
      <c r="A13" s="53" t="n">
        <v>46164</v>
      </c>
      <c r="B13" s="77" t="inlineStr">
        <is>
          <t>Efectivo</t>
        </is>
      </c>
      <c r="C13" s="109" t="n">
        <v>193100</v>
      </c>
      <c r="D13" s="77" t="inlineStr">
        <is>
          <t>20/25319878/9</t>
        </is>
      </c>
      <c r="E13" s="77" t="inlineStr">
        <is>
          <t>C</t>
        </is>
      </c>
      <c r="F13" s="16" t="n">
        <v>46164.90897494213</v>
      </c>
    </row>
    <row r="14">
      <c r="A14" s="105" t="n">
        <v>46189</v>
      </c>
      <c r="B14" s="106" t="inlineStr">
        <is>
          <t>Efectivo</t>
        </is>
      </c>
      <c r="C14" s="107" t="n">
        <v>205500</v>
      </c>
      <c r="D14" s="106" t="inlineStr">
        <is>
          <t>20/25319878/9</t>
        </is>
      </c>
      <c r="E14" s="106" t="inlineStr">
        <is>
          <t>C</t>
        </is>
      </c>
      <c r="F14" s="108" t="n">
        <v>46189.90733554398</v>
      </c>
    </row>
    <row r="15">
      <c r="A15" s="53" t="n">
        <v>46189</v>
      </c>
      <c r="B15" s="77" t="inlineStr">
        <is>
          <t>Efectivo</t>
        </is>
      </c>
      <c r="C15" s="109" t="n">
        <v>1715000</v>
      </c>
      <c r="D15" s="109" t="n">
        <v>20428208405</v>
      </c>
      <c r="E15" s="77" t="inlineStr">
        <is>
          <t>C</t>
        </is>
      </c>
      <c r="F15" s="16" t="n">
        <v>46189.91035476852</v>
      </c>
    </row>
    <row r="16">
      <c r="A16" s="105" t="n">
        <v>46223</v>
      </c>
      <c r="B16" s="106" t="inlineStr">
        <is>
          <t>Transferencia</t>
        </is>
      </c>
      <c r="C16" s="107" t="n">
        <v>320000</v>
      </c>
      <c r="D16" s="107" t="n">
        <v>20274370867</v>
      </c>
      <c r="E16" s="106" t="inlineStr">
        <is>
          <t>C</t>
        </is>
      </c>
      <c r="F16" s="108" t="n">
        <v>46223.50175201389</v>
      </c>
    </row>
    <row r="17">
      <c r="A17" s="53" t="n">
        <v>46224</v>
      </c>
      <c r="B17" s="77" t="inlineStr">
        <is>
          <t>Transferencia</t>
        </is>
      </c>
      <c r="C17" s="109" t="n">
        <v>183518.28</v>
      </c>
      <c r="D17" s="109" t="n">
        <v>30715674536</v>
      </c>
      <c r="E17" s="77" t="inlineStr">
        <is>
          <t>A</t>
        </is>
      </c>
      <c r="F17" s="16" t="n">
        <v>46224.7836275463</v>
      </c>
    </row>
    <row r="18">
      <c r="A18" s="105" t="n">
        <v>46224</v>
      </c>
      <c r="B18" s="106" t="inlineStr">
        <is>
          <t>Transferencia</t>
        </is>
      </c>
      <c r="C18" s="107" t="n">
        <v>1080000</v>
      </c>
      <c r="D18" s="107" t="n">
        <v>20428208405</v>
      </c>
      <c r="E18" s="106" t="inlineStr">
        <is>
          <t>C</t>
        </is>
      </c>
      <c r="F18" s="108" t="n">
        <v>46224.78800071759</v>
      </c>
    </row>
    <row r="19">
      <c r="A19" s="53" t="n">
        <v>46224</v>
      </c>
      <c r="B19" s="77" t="inlineStr">
        <is>
          <t>Transferencia</t>
        </is>
      </c>
      <c r="C19" s="109" t="n">
        <v>120000</v>
      </c>
      <c r="D19" s="109" t="n">
        <v>20253150789</v>
      </c>
      <c r="E19" s="77" t="inlineStr">
        <is>
          <t>C</t>
        </is>
      </c>
      <c r="F19" s="16" t="n">
        <v>46224.86251601852</v>
      </c>
    </row>
    <row r="20">
      <c r="A20" s="105" t="n">
        <v>46224</v>
      </c>
      <c r="B20" s="106" t="inlineStr">
        <is>
          <t>Transferencia</t>
        </is>
      </c>
      <c r="C20" s="107" t="n">
        <v>120200</v>
      </c>
      <c r="D20" s="107" t="n">
        <v>20253198789</v>
      </c>
      <c r="E20" s="106" t="inlineStr">
        <is>
          <t>C</t>
        </is>
      </c>
      <c r="F20" s="108" t="n">
        <v>46238.49398625</v>
      </c>
    </row>
  </sheetData>
  <autoFilter ref="A1:F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A6A6"/>
    <outlinePr summaryBelow="0" summaryRight="0"/>
    <pageSetUpPr/>
  </sheetPr>
  <dimension ref="A1:H1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21" customWidth="1" style="78" min="1" max="1"/>
    <col width="25" customWidth="1" style="78" min="2" max="2"/>
    <col width="10" customWidth="1" style="78" min="3" max="3"/>
    <col width="10" customWidth="1" style="78" min="4" max="4"/>
    <col width="10" customWidth="1" style="78" min="5" max="5"/>
    <col width="10" customWidth="1" style="78" min="6" max="6"/>
    <col width="14" customWidth="1" style="78" min="7" max="7"/>
    <col width="32" customWidth="1" style="78" min="8" max="8"/>
  </cols>
  <sheetData>
    <row r="1">
      <c r="A1" s="79" t="inlineStr">
        <is>
          <t>Fecha</t>
        </is>
      </c>
      <c r="B1" s="79" t="inlineStr">
        <is>
          <t>Medio de Pago</t>
        </is>
      </c>
      <c r="C1" s="79" t="inlineStr">
        <is>
          <t>Monto</t>
        </is>
      </c>
      <c r="G1" s="79" t="inlineStr">
        <is>
          <t>Billeteras V</t>
        </is>
      </c>
      <c r="H1" s="95">
        <f>SUM(C2:C515)</f>
        <v/>
      </c>
    </row>
    <row r="2">
      <c r="A2" s="105" t="n">
        <v>45943</v>
      </c>
      <c r="B2" s="106" t="inlineStr">
        <is>
          <t>Personal Pay</t>
        </is>
      </c>
      <c r="C2" s="107" t="n">
        <v>16000</v>
      </c>
      <c r="G2" s="106" t="inlineStr">
        <is>
          <t>Efectivo</t>
        </is>
      </c>
      <c r="H2" s="110">
        <f>SUM('Base de Datos Efectivo'!C2:C79)</f>
        <v/>
      </c>
    </row>
    <row r="3">
      <c r="A3" s="53" t="n">
        <v>45943</v>
      </c>
      <c r="B3" s="77" t="inlineStr">
        <is>
          <t>Personal Pay</t>
        </is>
      </c>
      <c r="C3" s="109" t="n">
        <v>21000</v>
      </c>
      <c r="G3" s="77" t="inlineStr">
        <is>
          <t>Tarjetas</t>
        </is>
      </c>
      <c r="H3" s="76">
        <f>SUM('Base de Datos Tarjetas'!C2:C300)</f>
        <v/>
      </c>
    </row>
    <row r="4">
      <c r="A4" s="105" t="n">
        <v>45943</v>
      </c>
      <c r="B4" s="106" t="inlineStr">
        <is>
          <t>Personal Pay</t>
        </is>
      </c>
      <c r="C4" s="107" t="n">
        <v>17000</v>
      </c>
    </row>
    <row r="5">
      <c r="A5" s="53" t="n">
        <v>45943</v>
      </c>
      <c r="B5" s="77" t="inlineStr">
        <is>
          <t>Personal Pay</t>
        </is>
      </c>
      <c r="C5" s="109" t="n">
        <v>5000</v>
      </c>
      <c r="H5" s="76">
        <f>SUM(H1:H3)</f>
        <v/>
      </c>
    </row>
    <row r="6">
      <c r="A6" s="105" t="n">
        <v>45943</v>
      </c>
      <c r="B6" s="106" t="inlineStr">
        <is>
          <t>Personal Pay</t>
        </is>
      </c>
      <c r="C6" s="107" t="n">
        <v>13500</v>
      </c>
    </row>
    <row r="7">
      <c r="A7" s="53" t="n">
        <v>45943</v>
      </c>
      <c r="B7" s="77" t="inlineStr">
        <is>
          <t>Personal Pay</t>
        </is>
      </c>
      <c r="C7" s="109" t="n">
        <v>10000</v>
      </c>
    </row>
    <row r="8">
      <c r="A8" s="105" t="n">
        <v>45943</v>
      </c>
      <c r="B8" s="106" t="inlineStr">
        <is>
          <t>Personal Pay</t>
        </is>
      </c>
      <c r="C8" s="107" t="n">
        <v>10000</v>
      </c>
    </row>
    <row r="9">
      <c r="A9" s="53" t="n">
        <v>45943</v>
      </c>
      <c r="B9" s="77" t="inlineStr">
        <is>
          <t>Personal Pay</t>
        </is>
      </c>
      <c r="C9" s="109" t="n">
        <v>6800</v>
      </c>
    </row>
    <row r="10">
      <c r="A10" s="105" t="n">
        <v>45943</v>
      </c>
      <c r="B10" s="106" t="inlineStr">
        <is>
          <t>Personal Pay</t>
        </is>
      </c>
      <c r="C10" s="107" t="n">
        <v>2800</v>
      </c>
    </row>
    <row r="11">
      <c r="A11" s="53" t="n">
        <v>45944</v>
      </c>
      <c r="B11" s="77" t="inlineStr">
        <is>
          <t>Personal Pay</t>
        </is>
      </c>
      <c r="C11" s="109" t="n">
        <v>175500</v>
      </c>
    </row>
    <row r="12">
      <c r="A12" s="105" t="n">
        <v>45944</v>
      </c>
      <c r="B12" s="106" t="inlineStr">
        <is>
          <t>Personal Pay</t>
        </is>
      </c>
      <c r="C12" s="107" t="n">
        <v>14980</v>
      </c>
    </row>
    <row r="13">
      <c r="A13" s="53" t="n">
        <v>45945</v>
      </c>
      <c r="B13" s="77" t="inlineStr">
        <is>
          <t>Personal Pay</t>
        </is>
      </c>
      <c r="C13" s="109" t="n">
        <v>58500</v>
      </c>
    </row>
    <row r="14">
      <c r="A14" s="105" t="inlineStr">
        <is>
          <t>10/15/0825</t>
        </is>
      </c>
      <c r="B14" s="106" t="inlineStr">
        <is>
          <t>Personal Pay</t>
        </is>
      </c>
      <c r="C14" s="107" t="n">
        <v>68800</v>
      </c>
    </row>
    <row r="15">
      <c r="A15" s="53" t="n">
        <v>45946</v>
      </c>
      <c r="B15" s="77" t="inlineStr">
        <is>
          <t>Personal Pay</t>
        </is>
      </c>
      <c r="C15" s="109" t="n">
        <v>75800</v>
      </c>
    </row>
    <row r="16">
      <c r="A16" s="105" t="n">
        <v>45946</v>
      </c>
      <c r="B16" s="106" t="inlineStr">
        <is>
          <t>Personal Pay</t>
        </is>
      </c>
      <c r="C16" s="107" t="n">
        <v>11000</v>
      </c>
    </row>
    <row r="17">
      <c r="A17" s="53" t="n">
        <v>45946</v>
      </c>
      <c r="B17" s="77" t="inlineStr">
        <is>
          <t>Personal Pay</t>
        </is>
      </c>
      <c r="C17" s="109" t="n">
        <v>25000</v>
      </c>
    </row>
    <row r="18">
      <c r="A18" s="105" t="n">
        <v>45946</v>
      </c>
      <c r="B18" s="106" t="inlineStr">
        <is>
          <t>Personal Pay</t>
        </is>
      </c>
      <c r="C18" s="107" t="n">
        <v>42000</v>
      </c>
    </row>
    <row r="19">
      <c r="A19" s="53" t="n">
        <v>45946</v>
      </c>
      <c r="B19" s="77" t="inlineStr">
        <is>
          <t>Personal Pay</t>
        </is>
      </c>
      <c r="C19" s="109" t="n">
        <v>25000</v>
      </c>
    </row>
    <row r="20">
      <c r="A20" s="105" t="n">
        <v>45946</v>
      </c>
      <c r="B20" s="106" t="inlineStr">
        <is>
          <t>Personal Pay</t>
        </is>
      </c>
      <c r="C20" s="107" t="n">
        <v>15000</v>
      </c>
    </row>
    <row r="21">
      <c r="A21" s="53" t="n">
        <v>45952</v>
      </c>
      <c r="B21" s="77" t="inlineStr">
        <is>
          <t>Mercado Pago</t>
        </is>
      </c>
      <c r="C21" s="109" t="n">
        <v>5500</v>
      </c>
    </row>
    <row r="22">
      <c r="A22" s="105" t="n">
        <v>45952</v>
      </c>
      <c r="B22" s="106" t="inlineStr">
        <is>
          <t>Personal Pay</t>
        </is>
      </c>
      <c r="C22" s="107" t="n">
        <v>75500</v>
      </c>
    </row>
    <row r="23">
      <c r="A23" s="53" t="n">
        <v>45952</v>
      </c>
      <c r="B23" s="77" t="inlineStr">
        <is>
          <t>Personal Pay</t>
        </is>
      </c>
      <c r="C23" s="109" t="n">
        <v>31400</v>
      </c>
    </row>
    <row r="24">
      <c r="A24" s="105" t="n">
        <v>45954</v>
      </c>
      <c r="B24" s="106" t="inlineStr">
        <is>
          <t>Personal Pay</t>
        </is>
      </c>
      <c r="C24" s="107" t="n">
        <v>18500</v>
      </c>
    </row>
    <row r="25">
      <c r="A25" s="53" t="n">
        <v>45954</v>
      </c>
      <c r="B25" s="77" t="inlineStr">
        <is>
          <t>Personal Pay</t>
        </is>
      </c>
      <c r="C25" s="109" t="n">
        <v>4000</v>
      </c>
    </row>
    <row r="26">
      <c r="A26" s="105" t="n">
        <v>45954</v>
      </c>
      <c r="B26" s="106" t="inlineStr">
        <is>
          <t>Personal Pay</t>
        </is>
      </c>
      <c r="C26" s="107" t="n">
        <v>27000</v>
      </c>
    </row>
    <row r="27">
      <c r="A27" s="53" t="n">
        <v>45954</v>
      </c>
      <c r="B27" s="77" t="inlineStr">
        <is>
          <t>Personal Pay</t>
        </is>
      </c>
      <c r="C27" s="109" t="n">
        <v>8000</v>
      </c>
    </row>
    <row r="28">
      <c r="A28" s="105" t="n">
        <v>45955</v>
      </c>
      <c r="B28" s="106" t="inlineStr">
        <is>
          <t>Naranja</t>
        </is>
      </c>
      <c r="C28" s="107" t="n">
        <v>27000</v>
      </c>
    </row>
    <row r="29">
      <c r="A29" s="53" t="n">
        <v>45956</v>
      </c>
      <c r="B29" s="77" t="inlineStr">
        <is>
          <t>Mercado Pago</t>
        </is>
      </c>
      <c r="C29" s="109" t="n">
        <v>8000</v>
      </c>
    </row>
    <row r="30">
      <c r="A30" s="105" t="n">
        <v>45958</v>
      </c>
      <c r="B30" s="106" t="inlineStr">
        <is>
          <t>Naranja</t>
        </is>
      </c>
      <c r="C30" s="107" t="n">
        <v>97300</v>
      </c>
    </row>
    <row r="31">
      <c r="A31" s="53" t="n">
        <v>45960</v>
      </c>
      <c r="B31" s="77" t="inlineStr">
        <is>
          <t>Naranja</t>
        </is>
      </c>
      <c r="C31" s="109" t="n">
        <v>90000</v>
      </c>
    </row>
    <row r="32">
      <c r="A32" s="105" t="n">
        <v>45960</v>
      </c>
      <c r="B32" s="106" t="inlineStr">
        <is>
          <t>Naranja</t>
        </is>
      </c>
      <c r="C32" s="107" t="n">
        <v>11000</v>
      </c>
    </row>
    <row r="33">
      <c r="A33" s="53" t="n">
        <v>45961</v>
      </c>
      <c r="B33" s="77" t="inlineStr">
        <is>
          <t>Naranja</t>
        </is>
      </c>
      <c r="C33" s="109" t="n">
        <v>44800</v>
      </c>
    </row>
    <row r="34">
      <c r="A34" s="105" t="n">
        <v>45961</v>
      </c>
      <c r="B34" s="106" t="inlineStr">
        <is>
          <t>Naranja</t>
        </is>
      </c>
      <c r="C34" s="107" t="n">
        <v>40000</v>
      </c>
    </row>
    <row r="35">
      <c r="A35" s="53" t="n">
        <v>45961</v>
      </c>
      <c r="B35" s="77" t="inlineStr">
        <is>
          <t>Naranja</t>
        </is>
      </c>
      <c r="C35" s="109" t="n">
        <v>5500</v>
      </c>
    </row>
    <row r="36">
      <c r="A36" s="105" t="n">
        <v>45961</v>
      </c>
      <c r="B36" s="106" t="inlineStr">
        <is>
          <t>Naranja</t>
        </is>
      </c>
      <c r="C36" s="107" t="n">
        <v>8440</v>
      </c>
    </row>
    <row r="37">
      <c r="A37" s="53" t="n">
        <v>45961</v>
      </c>
      <c r="B37" s="77" t="inlineStr">
        <is>
          <t>Naranja</t>
        </is>
      </c>
      <c r="C37" s="109" t="n">
        <v>15000</v>
      </c>
    </row>
    <row r="38">
      <c r="A38" s="105" t="n">
        <v>45961</v>
      </c>
      <c r="B38" s="106" t="inlineStr">
        <is>
          <t>Naranja</t>
        </is>
      </c>
      <c r="C38" s="107" t="n">
        <v>118500</v>
      </c>
    </row>
    <row r="39">
      <c r="A39" s="53" t="n">
        <v>45962</v>
      </c>
      <c r="B39" s="77" t="inlineStr">
        <is>
          <t>Mercado Pago</t>
        </is>
      </c>
      <c r="C39" s="109" t="n">
        <v>45000</v>
      </c>
    </row>
    <row r="40">
      <c r="A40" s="105" t="n">
        <v>45962</v>
      </c>
      <c r="B40" s="106" t="inlineStr">
        <is>
          <t>Naranja</t>
        </is>
      </c>
      <c r="C40" s="107" t="n">
        <v>40000</v>
      </c>
    </row>
    <row r="41">
      <c r="A41" s="53" t="n">
        <v>45962</v>
      </c>
      <c r="B41" s="77" t="inlineStr">
        <is>
          <t>Mercado Pago</t>
        </is>
      </c>
      <c r="C41" s="109" t="n">
        <v>19800</v>
      </c>
    </row>
    <row r="42">
      <c r="A42" s="105" t="n">
        <v>45931</v>
      </c>
      <c r="B42" s="106" t="inlineStr">
        <is>
          <t>Mercado Pago</t>
        </is>
      </c>
      <c r="C42" s="107" t="n">
        <v>21000</v>
      </c>
    </row>
    <row r="43">
      <c r="A43" s="53" t="n">
        <v>45931</v>
      </c>
      <c r="B43" s="77" t="inlineStr">
        <is>
          <t>Mercado Pago</t>
        </is>
      </c>
      <c r="C43" s="109" t="n">
        <v>63600</v>
      </c>
    </row>
    <row r="44">
      <c r="A44" s="105" t="n">
        <v>45931</v>
      </c>
      <c r="B44" s="106" t="inlineStr">
        <is>
          <t>Mercado Pago</t>
        </is>
      </c>
      <c r="C44" s="107" t="n">
        <v>21800</v>
      </c>
    </row>
    <row r="45">
      <c r="A45" s="53" t="n">
        <v>45931</v>
      </c>
      <c r="B45" s="77" t="inlineStr">
        <is>
          <t>Mercado Pago</t>
        </is>
      </c>
      <c r="C45" s="109" t="n">
        <v>55000</v>
      </c>
    </row>
    <row r="46">
      <c r="A46" s="105" t="n">
        <v>45931</v>
      </c>
      <c r="B46" s="106" t="inlineStr">
        <is>
          <t>Mercado Pago</t>
        </is>
      </c>
      <c r="C46" s="107" t="n">
        <v>19800</v>
      </c>
    </row>
    <row r="47">
      <c r="A47" s="53" t="n">
        <v>45931</v>
      </c>
      <c r="B47" s="77" t="inlineStr">
        <is>
          <t>Mercado Pago</t>
        </is>
      </c>
      <c r="C47" s="109" t="n">
        <v>6300</v>
      </c>
    </row>
    <row r="48">
      <c r="A48" s="105" t="n">
        <v>45964</v>
      </c>
      <c r="B48" s="106" t="inlineStr">
        <is>
          <t>Mercado Pago</t>
        </is>
      </c>
      <c r="C48" s="107" t="n">
        <v>111000</v>
      </c>
    </row>
    <row r="49">
      <c r="A49" s="53" t="n">
        <v>45966</v>
      </c>
      <c r="B49" s="77" t="inlineStr">
        <is>
          <t>Mercado Pago</t>
        </is>
      </c>
      <c r="C49" s="109" t="n">
        <v>100000</v>
      </c>
    </row>
    <row r="50">
      <c r="A50" s="105" t="n">
        <v>45966</v>
      </c>
      <c r="B50" s="106" t="inlineStr">
        <is>
          <t>Mercado Pago</t>
        </is>
      </c>
      <c r="C50" s="107" t="n">
        <v>22800</v>
      </c>
    </row>
    <row r="51">
      <c r="A51" s="53" t="n">
        <v>45967</v>
      </c>
      <c r="B51" s="77" t="inlineStr">
        <is>
          <t>Mercado Pago</t>
        </is>
      </c>
      <c r="C51" s="109" t="n">
        <v>72200</v>
      </c>
    </row>
    <row r="52">
      <c r="A52" s="105" t="n">
        <v>45967</v>
      </c>
      <c r="B52" s="106" t="inlineStr">
        <is>
          <t>Mercado Pago</t>
        </is>
      </c>
      <c r="C52" s="107" t="n">
        <v>21600</v>
      </c>
    </row>
    <row r="53">
      <c r="A53" s="53" t="n">
        <v>45967</v>
      </c>
      <c r="B53" s="77" t="inlineStr">
        <is>
          <t>Mercado Pago</t>
        </is>
      </c>
      <c r="C53" s="109" t="n">
        <v>3000</v>
      </c>
    </row>
    <row r="54">
      <c r="A54" s="105" t="n">
        <v>45968</v>
      </c>
      <c r="B54" s="106" t="inlineStr">
        <is>
          <t>Mercado Pago</t>
        </is>
      </c>
      <c r="C54" s="107" t="n">
        <v>30900</v>
      </c>
    </row>
    <row r="55">
      <c r="A55" s="53" t="n">
        <v>45968</v>
      </c>
      <c r="B55" s="77" t="inlineStr">
        <is>
          <t>Mercado Pago</t>
        </is>
      </c>
      <c r="C55" s="109" t="n">
        <v>66100</v>
      </c>
    </row>
    <row r="56">
      <c r="A56" s="105" t="n">
        <v>45969</v>
      </c>
      <c r="B56" s="106" t="inlineStr">
        <is>
          <t>Mercado Pago</t>
        </is>
      </c>
      <c r="C56" s="107" t="n">
        <v>100000</v>
      </c>
    </row>
    <row r="57">
      <c r="A57" s="53" t="n">
        <v>45969</v>
      </c>
      <c r="B57" s="77" t="inlineStr">
        <is>
          <t>Mercado Pago</t>
        </is>
      </c>
      <c r="C57" s="109" t="n">
        <v>29000</v>
      </c>
    </row>
    <row r="58">
      <c r="A58" s="105" t="n">
        <v>45969</v>
      </c>
      <c r="B58" s="106" t="inlineStr">
        <is>
          <t>Mercado Pago</t>
        </is>
      </c>
      <c r="C58" s="107" t="n">
        <v>23700</v>
      </c>
    </row>
    <row r="59">
      <c r="A59" s="53" t="n">
        <v>45969</v>
      </c>
      <c r="B59" s="77" t="inlineStr">
        <is>
          <t>Mercado Pago</t>
        </is>
      </c>
      <c r="C59" s="109" t="n">
        <v>142000</v>
      </c>
    </row>
    <row r="60">
      <c r="A60" s="105" t="n">
        <v>45969</v>
      </c>
      <c r="B60" s="106" t="inlineStr">
        <is>
          <t>Mercado Pago</t>
        </is>
      </c>
      <c r="C60" s="107" t="n">
        <v>56500</v>
      </c>
    </row>
    <row r="61">
      <c r="A61" s="53" t="n">
        <v>45971</v>
      </c>
      <c r="B61" s="77" t="inlineStr">
        <is>
          <t>Mercado Pago</t>
        </is>
      </c>
      <c r="C61" s="109" t="n">
        <v>22500</v>
      </c>
    </row>
    <row r="62">
      <c r="A62" s="105" t="n">
        <v>45971</v>
      </c>
      <c r="B62" s="106" t="inlineStr">
        <is>
          <t>Mercado Pago</t>
        </is>
      </c>
      <c r="C62" s="107" t="n">
        <v>19000</v>
      </c>
    </row>
    <row r="63">
      <c r="A63" s="53" t="n">
        <v>45971</v>
      </c>
      <c r="B63" s="77" t="inlineStr">
        <is>
          <t>Mercado Pago</t>
        </is>
      </c>
      <c r="C63" s="109" t="n">
        <v>5500</v>
      </c>
    </row>
    <row r="64">
      <c r="A64" s="105" t="n">
        <v>45972</v>
      </c>
      <c r="B64" s="106" t="inlineStr">
        <is>
          <t>Mercado Pago</t>
        </is>
      </c>
      <c r="C64" s="107" t="n">
        <v>7500</v>
      </c>
    </row>
    <row r="65">
      <c r="A65" s="53" t="n">
        <v>45972</v>
      </c>
      <c r="B65" s="77" t="inlineStr">
        <is>
          <t>Mercado Pago</t>
        </is>
      </c>
      <c r="C65" s="109" t="n">
        <v>6500</v>
      </c>
    </row>
    <row r="66">
      <c r="A66" s="105" t="n">
        <v>45972</v>
      </c>
      <c r="B66" s="106" t="inlineStr">
        <is>
          <t>Mercado Pago</t>
        </is>
      </c>
      <c r="C66" s="107" t="n">
        <v>10000</v>
      </c>
    </row>
    <row r="67">
      <c r="A67" s="53" t="n">
        <v>45972</v>
      </c>
      <c r="B67" s="77" t="inlineStr">
        <is>
          <t>Mercado Pago</t>
        </is>
      </c>
      <c r="C67" s="109" t="n">
        <v>7300</v>
      </c>
    </row>
    <row r="68">
      <c r="A68" s="105" t="n">
        <v>45972</v>
      </c>
      <c r="B68" s="106" t="inlineStr">
        <is>
          <t>Mercado Pago</t>
        </is>
      </c>
      <c r="C68" s="107" t="n">
        <v>13500</v>
      </c>
    </row>
    <row r="69">
      <c r="A69" s="53" t="n">
        <v>45972</v>
      </c>
      <c r="B69" s="77" t="inlineStr">
        <is>
          <t>Personal Pay</t>
        </is>
      </c>
      <c r="C69" s="109" t="n">
        <v>40000</v>
      </c>
    </row>
    <row r="70">
      <c r="A70" s="105" t="n">
        <v>45973</v>
      </c>
      <c r="B70" s="106" t="inlineStr">
        <is>
          <t>Personal Pay</t>
        </is>
      </c>
      <c r="C70" s="107" t="n">
        <v>53800</v>
      </c>
    </row>
    <row r="71">
      <c r="A71" s="53" t="n">
        <v>45973</v>
      </c>
      <c r="B71" s="77" t="inlineStr">
        <is>
          <t>Personal Pay</t>
        </is>
      </c>
      <c r="C71" s="109" t="n">
        <v>14000</v>
      </c>
    </row>
    <row r="72">
      <c r="A72" s="105" t="n">
        <v>45973</v>
      </c>
      <c r="B72" s="106" t="inlineStr">
        <is>
          <t>Personal Pay</t>
        </is>
      </c>
      <c r="C72" s="107" t="n">
        <v>15000</v>
      </c>
    </row>
    <row r="73">
      <c r="A73" s="53" t="n">
        <v>45973</v>
      </c>
      <c r="B73" s="77" t="inlineStr">
        <is>
          <t>Personal Pay</t>
        </is>
      </c>
      <c r="C73" s="109" t="n">
        <v>2500</v>
      </c>
    </row>
    <row r="74">
      <c r="A74" s="105" t="n">
        <v>45973</v>
      </c>
      <c r="B74" s="106" t="inlineStr">
        <is>
          <t>Personal Pay</t>
        </is>
      </c>
      <c r="C74" s="107" t="n">
        <v>42000</v>
      </c>
    </row>
    <row r="75">
      <c r="A75" s="53" t="n">
        <v>45973</v>
      </c>
      <c r="B75" s="77" t="inlineStr">
        <is>
          <t>Personal Pay</t>
        </is>
      </c>
      <c r="C75" s="109" t="n">
        <v>14000</v>
      </c>
    </row>
    <row r="76">
      <c r="A76" s="105" t="n">
        <v>45975</v>
      </c>
      <c r="B76" s="106" t="inlineStr">
        <is>
          <t>Personal Pay</t>
        </is>
      </c>
      <c r="C76" s="107" t="n">
        <v>38600</v>
      </c>
    </row>
    <row r="77">
      <c r="A77" s="53" t="n">
        <v>45976</v>
      </c>
      <c r="B77" s="77" t="inlineStr">
        <is>
          <t>Personal Pay</t>
        </is>
      </c>
      <c r="C77" s="109" t="n">
        <v>22000</v>
      </c>
    </row>
    <row r="78">
      <c r="A78" s="105" t="n">
        <v>45976</v>
      </c>
      <c r="B78" s="106" t="inlineStr">
        <is>
          <t>Personal Pay</t>
        </is>
      </c>
      <c r="C78" s="107" t="n">
        <v>7300</v>
      </c>
    </row>
    <row r="79">
      <c r="A79" s="53" t="n">
        <v>45976</v>
      </c>
      <c r="B79" s="77" t="inlineStr">
        <is>
          <t>Personal Pay</t>
        </is>
      </c>
      <c r="C79" s="109" t="n">
        <v>8430</v>
      </c>
    </row>
    <row r="80">
      <c r="A80" s="105" t="n">
        <v>45976</v>
      </c>
      <c r="B80" s="106" t="inlineStr">
        <is>
          <t>Personal Pay</t>
        </is>
      </c>
      <c r="C80" s="107" t="n">
        <v>25500</v>
      </c>
    </row>
    <row r="81">
      <c r="A81" s="53" t="n">
        <v>45979</v>
      </c>
      <c r="B81" s="77" t="inlineStr">
        <is>
          <t>Personal Pay</t>
        </is>
      </c>
      <c r="C81" s="109" t="n">
        <v>15500</v>
      </c>
    </row>
    <row r="82">
      <c r="A82" s="105" t="n">
        <v>45979</v>
      </c>
      <c r="B82" s="106" t="inlineStr">
        <is>
          <t>Personal Pay</t>
        </is>
      </c>
      <c r="C82" s="107" t="n">
        <v>4200</v>
      </c>
    </row>
    <row r="83">
      <c r="A83" s="53" t="n">
        <v>45980</v>
      </c>
      <c r="B83" s="77" t="inlineStr">
        <is>
          <t>Personal Pay</t>
        </is>
      </c>
      <c r="C83" s="109" t="n">
        <v>38000</v>
      </c>
    </row>
    <row r="84">
      <c r="A84" s="105" t="n">
        <v>45980</v>
      </c>
      <c r="B84" s="106" t="inlineStr">
        <is>
          <t>Personal Pay</t>
        </is>
      </c>
      <c r="C84" s="107" t="n">
        <v>28000</v>
      </c>
    </row>
    <row r="85">
      <c r="A85" s="53" t="n">
        <v>45980</v>
      </c>
      <c r="B85" s="77" t="inlineStr">
        <is>
          <t>Personal Pay</t>
        </is>
      </c>
      <c r="C85" s="109" t="n">
        <v>22000</v>
      </c>
    </row>
    <row r="86">
      <c r="A86" s="105" t="n">
        <v>45980</v>
      </c>
      <c r="B86" s="106" t="inlineStr">
        <is>
          <t>Personal Pay</t>
        </is>
      </c>
      <c r="C86" s="107" t="n">
        <v>18400</v>
      </c>
    </row>
    <row r="87">
      <c r="A87" s="53" t="n">
        <v>45981</v>
      </c>
      <c r="B87" s="77" t="inlineStr">
        <is>
          <t>Personal Pay</t>
        </is>
      </c>
      <c r="C87" s="109" t="n">
        <v>37000</v>
      </c>
    </row>
    <row r="88">
      <c r="A88" s="105" t="n">
        <v>45981</v>
      </c>
      <c r="B88" s="106" t="inlineStr">
        <is>
          <t>Personal Pay</t>
        </is>
      </c>
      <c r="C88" s="107" t="n">
        <v>30000</v>
      </c>
    </row>
    <row r="89">
      <c r="A89" s="53" t="n">
        <v>45982</v>
      </c>
      <c r="B89" s="77" t="inlineStr">
        <is>
          <t>Personal Pay</t>
        </is>
      </c>
      <c r="C89" s="109" t="n">
        <v>47000</v>
      </c>
    </row>
    <row r="90">
      <c r="A90" s="105" t="n">
        <v>45982</v>
      </c>
      <c r="B90" s="106" t="inlineStr">
        <is>
          <t>Personal Pay</t>
        </is>
      </c>
      <c r="C90" s="107" t="n">
        <v>13800</v>
      </c>
    </row>
    <row r="91">
      <c r="A91" s="53" t="n">
        <v>45983</v>
      </c>
      <c r="B91" s="77" t="inlineStr">
        <is>
          <t>Personal Pay</t>
        </is>
      </c>
      <c r="C91" s="109" t="n">
        <v>10300</v>
      </c>
    </row>
    <row r="92">
      <c r="A92" s="105" t="n">
        <v>45983</v>
      </c>
      <c r="B92" s="106" t="inlineStr">
        <is>
          <t>Personal Pay</t>
        </is>
      </c>
      <c r="C92" s="107" t="n">
        <v>31060</v>
      </c>
    </row>
    <row r="93">
      <c r="A93" s="53" t="n">
        <v>45983</v>
      </c>
      <c r="B93" s="77" t="inlineStr">
        <is>
          <t>Personal Pay</t>
        </is>
      </c>
      <c r="C93" s="109" t="n">
        <v>24000</v>
      </c>
    </row>
    <row r="94">
      <c r="A94" s="105" t="n">
        <v>45983</v>
      </c>
      <c r="B94" s="106" t="inlineStr">
        <is>
          <t>Personal Pay</t>
        </is>
      </c>
      <c r="C94" s="107" t="n">
        <v>31000</v>
      </c>
    </row>
    <row r="95">
      <c r="A95" s="53" t="n">
        <v>45986</v>
      </c>
      <c r="B95" s="77" t="inlineStr">
        <is>
          <t>Personal Pay</t>
        </is>
      </c>
      <c r="C95" s="109" t="n">
        <v>24000</v>
      </c>
    </row>
    <row r="96">
      <c r="A96" s="105" t="n">
        <v>45986</v>
      </c>
      <c r="B96" s="106" t="inlineStr">
        <is>
          <t>Personal Pay</t>
        </is>
      </c>
      <c r="C96" s="107" t="n">
        <v>32500</v>
      </c>
    </row>
    <row r="97">
      <c r="A97" s="53" t="n">
        <v>45988</v>
      </c>
      <c r="B97" s="77" t="inlineStr">
        <is>
          <t>Personal Pay</t>
        </is>
      </c>
      <c r="C97" s="109" t="n">
        <v>66000</v>
      </c>
    </row>
    <row r="98">
      <c r="A98" s="105" t="n">
        <v>45989</v>
      </c>
      <c r="B98" s="106" t="inlineStr">
        <is>
          <t>Personal Pay</t>
        </is>
      </c>
      <c r="C98" s="107" t="n">
        <v>43750</v>
      </c>
    </row>
    <row r="99">
      <c r="A99" s="53" t="n">
        <v>45989</v>
      </c>
      <c r="B99" s="77" t="inlineStr">
        <is>
          <t>Personal Pay</t>
        </is>
      </c>
      <c r="C99" s="109" t="n">
        <v>5000</v>
      </c>
    </row>
    <row r="100">
      <c r="A100" s="105" t="n">
        <v>45992</v>
      </c>
      <c r="B100" s="106" t="inlineStr">
        <is>
          <t>Personal Pay</t>
        </is>
      </c>
      <c r="C100" s="107" t="n">
        <v>19500</v>
      </c>
    </row>
    <row r="101">
      <c r="A101" s="53" t="n">
        <v>45992</v>
      </c>
      <c r="B101" s="77" t="inlineStr">
        <is>
          <t>Naranja</t>
        </is>
      </c>
      <c r="C101" s="109" t="n">
        <v>28750</v>
      </c>
    </row>
    <row r="102">
      <c r="A102" s="105" t="n">
        <v>45994</v>
      </c>
      <c r="B102" s="106" t="inlineStr">
        <is>
          <t>Personal Pay</t>
        </is>
      </c>
      <c r="C102" s="107" t="n">
        <v>27000</v>
      </c>
    </row>
    <row r="103">
      <c r="A103" s="53" t="n">
        <v>45964</v>
      </c>
      <c r="B103" s="77" t="inlineStr">
        <is>
          <t>Personal Pay</t>
        </is>
      </c>
      <c r="C103" s="109" t="n">
        <v>21850</v>
      </c>
    </row>
    <row r="104">
      <c r="A104" s="105" t="n">
        <v>45995</v>
      </c>
      <c r="B104" s="106" t="inlineStr">
        <is>
          <t>Personal Pay</t>
        </is>
      </c>
      <c r="C104" s="107" t="n">
        <v>20000</v>
      </c>
    </row>
    <row r="105">
      <c r="A105" s="53" t="n">
        <v>45995</v>
      </c>
      <c r="B105" s="77" t="inlineStr">
        <is>
          <t>Personal Pay</t>
        </is>
      </c>
      <c r="C105" s="109" t="n">
        <v>7500</v>
      </c>
    </row>
    <row r="106">
      <c r="A106" s="105" t="n">
        <v>45996</v>
      </c>
      <c r="B106" s="106" t="inlineStr">
        <is>
          <t>Mercado Pago</t>
        </is>
      </c>
      <c r="C106" s="107" t="n">
        <v>29000</v>
      </c>
    </row>
    <row r="107">
      <c r="A107" s="53" t="n">
        <v>45996</v>
      </c>
      <c r="B107" s="77" t="inlineStr">
        <is>
          <t>Personal Pay</t>
        </is>
      </c>
      <c r="C107" s="109" t="n">
        <v>25700</v>
      </c>
    </row>
    <row r="108">
      <c r="A108" s="105" t="n">
        <v>45996</v>
      </c>
      <c r="B108" s="106" t="inlineStr">
        <is>
          <t>Personal Pay</t>
        </is>
      </c>
      <c r="C108" s="107" t="n">
        <v>105000</v>
      </c>
    </row>
    <row r="109">
      <c r="A109" s="53" t="n">
        <v>45990</v>
      </c>
      <c r="B109" s="77" t="inlineStr">
        <is>
          <t>Personal Pay  - Facundo</t>
        </is>
      </c>
      <c r="C109" s="109" t="n">
        <v>1000</v>
      </c>
    </row>
    <row r="110">
      <c r="A110" s="105" t="n">
        <v>45990</v>
      </c>
      <c r="B110" s="106" t="inlineStr">
        <is>
          <t>Personal Pay  - Facundo</t>
        </is>
      </c>
      <c r="C110" s="107" t="n">
        <v>121000</v>
      </c>
    </row>
    <row r="111">
      <c r="A111" s="53" t="n">
        <v>45990</v>
      </c>
      <c r="B111" s="77" t="inlineStr">
        <is>
          <t>Personal Pay  - Facundo</t>
        </is>
      </c>
      <c r="C111" s="109" t="n">
        <v>9000</v>
      </c>
    </row>
    <row r="112">
      <c r="A112" s="105" t="n">
        <v>45990</v>
      </c>
      <c r="B112" s="106" t="inlineStr">
        <is>
          <t>Personal Pay  - Facundo</t>
        </is>
      </c>
      <c r="C112" s="107" t="n">
        <v>1000</v>
      </c>
    </row>
    <row r="113">
      <c r="A113" s="53" t="n">
        <v>45990</v>
      </c>
      <c r="B113" s="77" t="inlineStr">
        <is>
          <t>Personal Pay  - Facundo</t>
        </is>
      </c>
      <c r="C113" s="109" t="n">
        <v>2200</v>
      </c>
    </row>
    <row r="114">
      <c r="A114" s="105" t="n">
        <v>45990</v>
      </c>
      <c r="B114" s="106" t="inlineStr">
        <is>
          <t>Personal Pay  - Facundo</t>
        </is>
      </c>
      <c r="C114" s="107" t="n">
        <v>6000</v>
      </c>
    </row>
    <row r="115">
      <c r="A115" s="53" t="n">
        <v>45990</v>
      </c>
      <c r="B115" s="77" t="inlineStr">
        <is>
          <t>Personal Pay  - Facundo</t>
        </is>
      </c>
      <c r="C115" s="109" t="n">
        <v>1460</v>
      </c>
    </row>
    <row r="116">
      <c r="A116" s="105" t="n">
        <v>45990</v>
      </c>
      <c r="B116" s="106" t="inlineStr">
        <is>
          <t>Personal Pay  - Facundo</t>
        </is>
      </c>
      <c r="C116" s="107" t="n">
        <v>9000</v>
      </c>
    </row>
    <row r="117">
      <c r="A117" s="53" t="n">
        <v>45990</v>
      </c>
      <c r="B117" s="77" t="inlineStr">
        <is>
          <t>Personal Pay  - Facundo</t>
        </is>
      </c>
      <c r="C117" s="109" t="n">
        <v>11900</v>
      </c>
    </row>
    <row r="118">
      <c r="A118" s="105" t="n">
        <v>45990</v>
      </c>
      <c r="B118" s="106" t="inlineStr">
        <is>
          <t>Personal Pay  - Facundo</t>
        </is>
      </c>
      <c r="C118" s="107" t="n">
        <v>85500</v>
      </c>
    </row>
    <row r="119">
      <c r="A119" s="53" t="n">
        <v>45990</v>
      </c>
      <c r="B119" s="77" t="inlineStr">
        <is>
          <t>Personal Pay  - Facundo</t>
        </is>
      </c>
      <c r="C119" s="109" t="n">
        <v>8500</v>
      </c>
    </row>
    <row r="120">
      <c r="A120" s="105" t="n">
        <v>45991</v>
      </c>
      <c r="B120" s="106" t="inlineStr">
        <is>
          <t>Personal Pay  - Facundo</t>
        </is>
      </c>
      <c r="C120" s="107" t="n">
        <v>19500</v>
      </c>
    </row>
    <row r="121">
      <c r="A121" s="53" t="n">
        <v>45992</v>
      </c>
      <c r="B121" s="77" t="inlineStr">
        <is>
          <t>Personal Pay  - Facundo</t>
        </is>
      </c>
      <c r="C121" s="109" t="n">
        <v>35000</v>
      </c>
    </row>
    <row r="122">
      <c r="A122" s="105" t="n">
        <v>45992</v>
      </c>
      <c r="B122" s="106" t="inlineStr">
        <is>
          <t>Personal Pay  - Facundo</t>
        </is>
      </c>
      <c r="C122" s="107" t="n">
        <v>3600</v>
      </c>
    </row>
    <row r="123">
      <c r="A123" s="53" t="n">
        <v>45992</v>
      </c>
      <c r="B123" s="77" t="inlineStr">
        <is>
          <t>Personal Pay  - Facundo</t>
        </is>
      </c>
      <c r="C123" s="109" t="n">
        <v>49000</v>
      </c>
    </row>
    <row r="124">
      <c r="A124" s="105" t="n">
        <v>45993</v>
      </c>
      <c r="B124" s="106" t="inlineStr">
        <is>
          <t>Personal Pay  - Facundo</t>
        </is>
      </c>
      <c r="C124" s="107" t="n">
        <v>30000</v>
      </c>
    </row>
    <row r="125">
      <c r="A125" s="53" t="n">
        <v>45993</v>
      </c>
      <c r="B125" s="77" t="inlineStr">
        <is>
          <t>Personal Pay  - Facundo</t>
        </is>
      </c>
      <c r="C125" s="109" t="n">
        <v>1200</v>
      </c>
    </row>
    <row r="126">
      <c r="A126" s="105" t="n">
        <v>45993</v>
      </c>
      <c r="B126" s="106" t="inlineStr">
        <is>
          <t>Personal Pay  - Facundo</t>
        </is>
      </c>
      <c r="C126" s="107" t="n">
        <v>21850</v>
      </c>
    </row>
    <row r="127">
      <c r="A127" s="53" t="n">
        <v>45994</v>
      </c>
      <c r="B127" s="77" t="inlineStr">
        <is>
          <t>Personal Pay  - Facundo</t>
        </is>
      </c>
      <c r="C127" s="109" t="n">
        <v>27000</v>
      </c>
    </row>
    <row r="128">
      <c r="A128" s="105" t="n">
        <v>45995</v>
      </c>
      <c r="B128" s="106" t="inlineStr">
        <is>
          <t>Personal Pay  - Facundo</t>
        </is>
      </c>
      <c r="C128" s="107" t="n">
        <v>41000</v>
      </c>
    </row>
    <row r="129">
      <c r="A129" s="53" t="n">
        <v>45995</v>
      </c>
      <c r="B129" s="77" t="inlineStr">
        <is>
          <t>Personal Pay  - Facundo</t>
        </is>
      </c>
      <c r="C129" s="109" t="n">
        <v>18500</v>
      </c>
    </row>
    <row r="130">
      <c r="A130" s="105" t="n">
        <v>45995</v>
      </c>
      <c r="B130" s="106" t="inlineStr">
        <is>
          <t>Personal Pay  - Facundo</t>
        </is>
      </c>
      <c r="C130" s="107" t="n">
        <v>14500</v>
      </c>
    </row>
    <row r="131">
      <c r="A131" s="53" t="n">
        <v>45995</v>
      </c>
      <c r="B131" s="77" t="inlineStr">
        <is>
          <t>Personal Pay  - Facundo</t>
        </is>
      </c>
      <c r="C131" s="109" t="n">
        <v>3500</v>
      </c>
    </row>
    <row r="132">
      <c r="A132" s="105" t="n">
        <v>45995</v>
      </c>
      <c r="B132" s="106" t="inlineStr">
        <is>
          <t>Personal Pay  - Facundo</t>
        </is>
      </c>
      <c r="C132" s="107" t="n">
        <v>7500</v>
      </c>
    </row>
    <row r="133">
      <c r="A133" s="53" t="n">
        <v>45996</v>
      </c>
      <c r="B133" s="77" t="inlineStr">
        <is>
          <t>Personal Pay  - Facundo</t>
        </is>
      </c>
      <c r="C133" s="109" t="n">
        <v>80000</v>
      </c>
    </row>
    <row r="134">
      <c r="A134" s="105" t="n">
        <v>45996</v>
      </c>
      <c r="B134" s="106" t="inlineStr">
        <is>
          <t>Personal Pay  - Facundo</t>
        </is>
      </c>
      <c r="C134" s="107" t="n">
        <v>35000</v>
      </c>
    </row>
    <row r="135">
      <c r="A135" s="53" t="n">
        <v>45996</v>
      </c>
      <c r="B135" s="77" t="inlineStr">
        <is>
          <t>Personal Pay  - Facundo</t>
        </is>
      </c>
      <c r="C135" s="109" t="n">
        <v>29000</v>
      </c>
    </row>
    <row r="136">
      <c r="A136" s="105" t="n">
        <v>45996</v>
      </c>
      <c r="B136" s="106" t="inlineStr">
        <is>
          <t>Personal Pay  - Facundo</t>
        </is>
      </c>
      <c r="C136" s="107" t="n">
        <v>21500</v>
      </c>
    </row>
    <row r="137">
      <c r="A137" s="53" t="n">
        <v>45996</v>
      </c>
      <c r="B137" s="77" t="inlineStr">
        <is>
          <t>Personal Pay  - Facundo</t>
        </is>
      </c>
      <c r="C137" s="109" t="n">
        <v>5500</v>
      </c>
    </row>
    <row r="138">
      <c r="A138" s="105" t="n">
        <v>45996</v>
      </c>
      <c r="B138" s="106" t="inlineStr">
        <is>
          <t>Personal Pay  - Facundo</t>
        </is>
      </c>
      <c r="C138" s="107" t="n">
        <v>20700</v>
      </c>
    </row>
    <row r="139">
      <c r="A139" s="53" t="n">
        <v>45996</v>
      </c>
      <c r="B139" s="77" t="inlineStr">
        <is>
          <t>Personal Pay  - Facundo</t>
        </is>
      </c>
      <c r="C139" s="109" t="n">
        <v>85000</v>
      </c>
    </row>
    <row r="140">
      <c r="A140" s="105" t="n">
        <v>45996</v>
      </c>
      <c r="B140" s="106" t="inlineStr">
        <is>
          <t>Personal Pay  - Facundo</t>
        </is>
      </c>
      <c r="C140" s="107" t="n">
        <v>33000</v>
      </c>
    </row>
    <row r="141">
      <c r="A141" s="53" t="n">
        <v>45996</v>
      </c>
      <c r="B141" s="77" t="inlineStr">
        <is>
          <t>Personal Pay  - Facundo</t>
        </is>
      </c>
      <c r="C141" s="109" t="n">
        <v>15500</v>
      </c>
    </row>
    <row r="142">
      <c r="A142" s="105" t="n">
        <v>45997</v>
      </c>
      <c r="B142" s="106" t="inlineStr">
        <is>
          <t>Personal Pay  - Facundo</t>
        </is>
      </c>
      <c r="C142" s="107" t="n">
        <v>6600</v>
      </c>
    </row>
    <row r="143">
      <c r="A143" s="53" t="n">
        <v>45997</v>
      </c>
      <c r="B143" s="77" t="inlineStr">
        <is>
          <t>Personal Pay  - Facundo</t>
        </is>
      </c>
      <c r="C143" s="109" t="n">
        <v>14980</v>
      </c>
    </row>
    <row r="144">
      <c r="A144" s="105" t="n">
        <v>45997</v>
      </c>
      <c r="B144" s="106" t="inlineStr">
        <is>
          <t>Personal Pay  - Facundo</t>
        </is>
      </c>
      <c r="C144" s="107" t="n">
        <v>27000</v>
      </c>
    </row>
    <row r="145">
      <c r="A145" s="53" t="n">
        <v>45997</v>
      </c>
      <c r="B145" s="77" t="inlineStr">
        <is>
          <t>Personal Pay  - Facundo</t>
        </is>
      </c>
      <c r="C145" s="109" t="n">
        <v>5000</v>
      </c>
    </row>
    <row r="146">
      <c r="A146" s="105" t="n">
        <v>45997</v>
      </c>
      <c r="B146" s="106" t="inlineStr">
        <is>
          <t>Personal Pay  - Facundo</t>
        </is>
      </c>
      <c r="C146" s="107" t="n">
        <v>36500</v>
      </c>
    </row>
    <row r="147">
      <c r="A147" s="53" t="n">
        <v>45998</v>
      </c>
      <c r="B147" s="77" t="inlineStr">
        <is>
          <t>Mercado Pago</t>
        </is>
      </c>
      <c r="C147" s="109" t="n">
        <v>3000</v>
      </c>
    </row>
    <row r="148">
      <c r="A148" s="105" t="n">
        <v>46001</v>
      </c>
      <c r="B148" s="106" t="inlineStr">
        <is>
          <t>Mercado Pago</t>
        </is>
      </c>
      <c r="C148" s="107" t="n">
        <v>36000</v>
      </c>
    </row>
    <row r="149">
      <c r="A149" s="53" t="n">
        <v>46001</v>
      </c>
      <c r="B149" s="77" t="inlineStr">
        <is>
          <t>Mercado Pago</t>
        </is>
      </c>
      <c r="C149" s="109" t="n">
        <v>44500</v>
      </c>
    </row>
    <row r="150">
      <c r="A150" s="105" t="n">
        <v>46002</v>
      </c>
      <c r="B150" s="106" t="inlineStr">
        <is>
          <t>Mercado Pago</t>
        </is>
      </c>
      <c r="C150" s="107" t="n">
        <v>30000</v>
      </c>
    </row>
    <row r="151">
      <c r="A151" s="53" t="n">
        <v>46002</v>
      </c>
      <c r="B151" s="77" t="inlineStr">
        <is>
          <t>Mercado Pago</t>
        </is>
      </c>
      <c r="C151" s="109" t="n">
        <v>9000</v>
      </c>
    </row>
    <row r="152">
      <c r="A152" s="105" t="n">
        <v>46003</v>
      </c>
      <c r="B152" s="106" t="inlineStr">
        <is>
          <t>Mercado Pago</t>
        </is>
      </c>
      <c r="C152" s="107" t="n">
        <v>174210</v>
      </c>
    </row>
    <row r="153">
      <c r="A153" s="53" t="n">
        <v>46004</v>
      </c>
      <c r="B153" s="77" t="inlineStr">
        <is>
          <t>Mercado Pago</t>
        </is>
      </c>
      <c r="C153" s="109" t="n">
        <v>246770</v>
      </c>
    </row>
    <row r="154">
      <c r="A154" s="105" t="n">
        <v>46007</v>
      </c>
      <c r="B154" s="106" t="inlineStr">
        <is>
          <t>Mercado Pago</t>
        </is>
      </c>
      <c r="C154" s="107" t="n">
        <v>60000</v>
      </c>
    </row>
    <row r="155">
      <c r="A155" s="53" t="n">
        <v>46008</v>
      </c>
      <c r="B155" s="77" t="inlineStr">
        <is>
          <t>Mercado Pago</t>
        </is>
      </c>
      <c r="C155" s="109" t="n">
        <v>43000</v>
      </c>
    </row>
    <row r="156">
      <c r="A156" s="105" t="n">
        <v>46008</v>
      </c>
      <c r="B156" s="106" t="inlineStr">
        <is>
          <t>Mercado Pago</t>
        </is>
      </c>
      <c r="C156" s="107" t="n">
        <v>9500</v>
      </c>
    </row>
    <row r="157">
      <c r="A157" s="53" t="n">
        <v>46008</v>
      </c>
      <c r="B157" s="77" t="inlineStr">
        <is>
          <t>Mercado Pago</t>
        </is>
      </c>
      <c r="C157" s="109" t="n">
        <v>17500</v>
      </c>
    </row>
    <row r="158">
      <c r="A158" s="105" t="n">
        <v>46009</v>
      </c>
      <c r="B158" s="106" t="inlineStr">
        <is>
          <t>Mercado Pago</t>
        </is>
      </c>
      <c r="C158" s="107" t="n">
        <v>74000</v>
      </c>
    </row>
    <row r="159">
      <c r="A159" s="53" t="n">
        <v>46010</v>
      </c>
      <c r="B159" s="77" t="inlineStr">
        <is>
          <t>Personal Pay</t>
        </is>
      </c>
      <c r="C159" s="109" t="n">
        <v>48000</v>
      </c>
    </row>
    <row r="160">
      <c r="A160" s="105" t="n">
        <v>46010</v>
      </c>
      <c r="B160" s="106" t="inlineStr">
        <is>
          <t>Personal Pay</t>
        </is>
      </c>
      <c r="C160" s="107" t="n">
        <v>12300</v>
      </c>
    </row>
    <row r="161">
      <c r="A161" s="53" t="n">
        <v>46010</v>
      </c>
      <c r="B161" s="77" t="inlineStr">
        <is>
          <t>Personal Pay</t>
        </is>
      </c>
      <c r="C161" s="109" t="n">
        <v>7620</v>
      </c>
    </row>
    <row r="162">
      <c r="A162" s="105" t="n">
        <v>46011</v>
      </c>
      <c r="B162" s="106" t="inlineStr">
        <is>
          <t>Personal Pay</t>
        </is>
      </c>
      <c r="C162" s="107" t="n">
        <v>52000</v>
      </c>
    </row>
    <row r="163">
      <c r="A163" s="53" t="n">
        <v>46011</v>
      </c>
      <c r="B163" s="77" t="inlineStr">
        <is>
          <t>Personal Pay</t>
        </is>
      </c>
      <c r="C163" s="109" t="n">
        <v>172500</v>
      </c>
    </row>
    <row r="164">
      <c r="A164" s="105" t="n">
        <v>46011</v>
      </c>
      <c r="B164" s="106" t="inlineStr">
        <is>
          <t>Personal Pay</t>
        </is>
      </c>
      <c r="C164" s="107" t="n">
        <v>110000</v>
      </c>
    </row>
    <row r="165">
      <c r="A165" s="53" t="n">
        <v>46013</v>
      </c>
      <c r="B165" s="77" t="inlineStr">
        <is>
          <t>Personal Pay</t>
        </is>
      </c>
      <c r="C165" s="109" t="n">
        <v>50000</v>
      </c>
    </row>
    <row r="166">
      <c r="A166" s="105" t="n">
        <v>46013</v>
      </c>
      <c r="B166" s="106" t="inlineStr">
        <is>
          <t>Personal Pay</t>
        </is>
      </c>
      <c r="C166" s="107" t="n">
        <v>40000</v>
      </c>
    </row>
    <row r="167">
      <c r="A167" s="53" t="n">
        <v>46013</v>
      </c>
      <c r="B167" s="77" t="inlineStr">
        <is>
          <t>Personal Pay</t>
        </is>
      </c>
      <c r="C167" s="109" t="n">
        <v>68100</v>
      </c>
    </row>
    <row r="168">
      <c r="A168" s="105" t="n">
        <v>46013</v>
      </c>
      <c r="B168" s="106" t="inlineStr">
        <is>
          <t>Brubank  -  Facundo</t>
        </is>
      </c>
      <c r="C168" s="107" t="n">
        <v>51500</v>
      </c>
    </row>
    <row r="169">
      <c r="A169" s="53" t="n">
        <v>46013</v>
      </c>
      <c r="B169" s="77" t="inlineStr">
        <is>
          <t>Brubank  -  Facundo</t>
        </is>
      </c>
      <c r="C169" s="109" t="n">
        <v>12600</v>
      </c>
    </row>
    <row r="170">
      <c r="A170" s="105" t="n">
        <v>46013</v>
      </c>
      <c r="B170" s="106" t="inlineStr">
        <is>
          <t>Brubank  -  Facundo</t>
        </is>
      </c>
      <c r="C170" s="107" t="n">
        <v>114500</v>
      </c>
    </row>
    <row r="171">
      <c r="A171" s="53" t="n">
        <v>46013</v>
      </c>
      <c r="B171" s="77" t="inlineStr">
        <is>
          <t>Brubank  -  Facundo</t>
        </is>
      </c>
      <c r="C171" s="109" t="n">
        <v>4500</v>
      </c>
    </row>
    <row r="172">
      <c r="A172" s="105" t="n">
        <v>46013</v>
      </c>
      <c r="B172" s="106" t="inlineStr">
        <is>
          <t>Brubank  -  Facundo</t>
        </is>
      </c>
      <c r="C172" s="107" t="n">
        <v>4250</v>
      </c>
    </row>
    <row r="173">
      <c r="A173" s="53" t="n">
        <v>46013</v>
      </c>
      <c r="B173" s="77" t="inlineStr">
        <is>
          <t>Brubank  -  Facundo</t>
        </is>
      </c>
      <c r="C173" s="109" t="n">
        <v>3800</v>
      </c>
    </row>
    <row r="174">
      <c r="A174" s="105" t="n">
        <v>46014</v>
      </c>
      <c r="B174" s="106" t="inlineStr">
        <is>
          <t>Brubank  -  Facundo</t>
        </is>
      </c>
      <c r="C174" s="107" t="n">
        <v>33100</v>
      </c>
    </row>
    <row r="175">
      <c r="A175" s="53" t="n">
        <v>46014</v>
      </c>
      <c r="B175" s="77" t="inlineStr">
        <is>
          <t>Brubank  -  Facundo</t>
        </is>
      </c>
      <c r="C175" s="109" t="n">
        <v>2500</v>
      </c>
    </row>
    <row r="176">
      <c r="A176" s="105" t="n">
        <v>46014</v>
      </c>
      <c r="B176" s="106" t="inlineStr">
        <is>
          <t>Brubank  -  Facundo</t>
        </is>
      </c>
      <c r="C176" s="107" t="n">
        <v>80950</v>
      </c>
    </row>
    <row r="177">
      <c r="A177" s="53" t="n">
        <v>46014</v>
      </c>
      <c r="B177" s="77" t="inlineStr">
        <is>
          <t>Brubank  -  Facundo</t>
        </is>
      </c>
      <c r="C177" s="109" t="n">
        <v>31700</v>
      </c>
    </row>
    <row r="178">
      <c r="A178" s="105" t="n">
        <v>46014</v>
      </c>
      <c r="B178" s="106" t="inlineStr">
        <is>
          <t>Brubank  -  Facundo</t>
        </is>
      </c>
      <c r="C178" s="107" t="n">
        <v>38300</v>
      </c>
    </row>
    <row r="179">
      <c r="A179" s="53" t="n">
        <v>46014</v>
      </c>
      <c r="B179" s="77" t="inlineStr">
        <is>
          <t>Brubank  -  Facundo</t>
        </is>
      </c>
      <c r="C179" s="109" t="n">
        <v>81500</v>
      </c>
    </row>
    <row r="180">
      <c r="A180" s="105" t="n">
        <v>46014</v>
      </c>
      <c r="B180" s="106" t="inlineStr">
        <is>
          <t>Brubank  -  Facundo</t>
        </is>
      </c>
      <c r="C180" s="107" t="n">
        <v>96200</v>
      </c>
    </row>
    <row r="181">
      <c r="A181" s="53" t="n">
        <v>46014</v>
      </c>
      <c r="B181" s="77" t="inlineStr">
        <is>
          <t>Brubank  -  Facundo</t>
        </is>
      </c>
      <c r="C181" s="109" t="n">
        <v>25000</v>
      </c>
    </row>
    <row r="182">
      <c r="A182" s="105" t="n">
        <v>46014</v>
      </c>
      <c r="B182" s="106" t="inlineStr">
        <is>
          <t>Brubank  -  Facundo</t>
        </is>
      </c>
      <c r="C182" s="107" t="n">
        <v>38500</v>
      </c>
    </row>
    <row r="183">
      <c r="A183" s="53" t="n">
        <v>46014</v>
      </c>
      <c r="B183" s="77" t="inlineStr">
        <is>
          <t>Brubank  -  Facundo</t>
        </is>
      </c>
      <c r="C183" s="109" t="n">
        <v>7000</v>
      </c>
    </row>
    <row r="184">
      <c r="A184" s="105" t="n">
        <v>46014</v>
      </c>
      <c r="B184" s="106" t="inlineStr">
        <is>
          <t>Brubank  -  Facundo</t>
        </is>
      </c>
      <c r="C184" s="107" t="n">
        <v>82600</v>
      </c>
    </row>
    <row r="185">
      <c r="A185" s="53" t="n">
        <v>46014</v>
      </c>
      <c r="B185" s="77" t="inlineStr">
        <is>
          <t>Brubank  -  Facundo</t>
        </is>
      </c>
      <c r="C185" s="109" t="n">
        <v>320</v>
      </c>
    </row>
    <row r="186">
      <c r="A186" s="105" t="n">
        <v>46015</v>
      </c>
      <c r="B186" s="106" t="inlineStr">
        <is>
          <t>Brubank  -  Facundo</t>
        </is>
      </c>
      <c r="C186" s="107" t="n">
        <v>8500</v>
      </c>
    </row>
    <row r="187">
      <c r="A187" s="53" t="n">
        <v>46015</v>
      </c>
      <c r="B187" s="77" t="inlineStr">
        <is>
          <t>Brubank  -  Facundo</t>
        </is>
      </c>
      <c r="C187" s="109" t="n">
        <v>37600</v>
      </c>
    </row>
    <row r="188">
      <c r="A188" s="105" t="n">
        <v>46015</v>
      </c>
      <c r="B188" s="106" t="inlineStr">
        <is>
          <t>Brubank  -  Facundo</t>
        </is>
      </c>
      <c r="C188" s="107" t="n">
        <v>18000</v>
      </c>
    </row>
    <row r="189">
      <c r="A189" s="53" t="n">
        <v>46015</v>
      </c>
      <c r="B189" s="77" t="inlineStr">
        <is>
          <t>Brubank  -  Facundo</t>
        </is>
      </c>
      <c r="C189" s="109" t="n">
        <v>26000</v>
      </c>
    </row>
    <row r="190">
      <c r="A190" s="105" t="n">
        <v>46015</v>
      </c>
      <c r="B190" s="106" t="inlineStr">
        <is>
          <t>Brubank  -  Facundo</t>
        </is>
      </c>
      <c r="C190" s="107" t="n">
        <v>26100</v>
      </c>
    </row>
    <row r="191">
      <c r="A191" s="53" t="n">
        <v>46015</v>
      </c>
      <c r="B191" s="77" t="inlineStr">
        <is>
          <t>Brubank  -  Facundo</t>
        </is>
      </c>
      <c r="C191" s="109" t="n">
        <v>23000</v>
      </c>
    </row>
    <row r="192">
      <c r="A192" s="105" t="n">
        <v>46015</v>
      </c>
      <c r="B192" s="106" t="inlineStr">
        <is>
          <t>Brubank  -  Facundo</t>
        </is>
      </c>
      <c r="C192" s="107" t="n">
        <v>59600</v>
      </c>
    </row>
    <row r="193">
      <c r="A193" s="53" t="n">
        <v>46015</v>
      </c>
      <c r="B193" s="77" t="inlineStr">
        <is>
          <t>Brubank  -  Facundo</t>
        </is>
      </c>
      <c r="C193" s="109" t="n">
        <v>12000</v>
      </c>
    </row>
    <row r="194">
      <c r="A194" s="105" t="n">
        <v>46015</v>
      </c>
      <c r="B194" s="106" t="inlineStr">
        <is>
          <t>Brubank  -  Facundo</t>
        </is>
      </c>
      <c r="C194" s="107" t="n">
        <v>21500</v>
      </c>
    </row>
    <row r="195">
      <c r="A195" s="53" t="n">
        <v>46015</v>
      </c>
      <c r="B195" s="77" t="inlineStr">
        <is>
          <t>Brubank  -  Facundo</t>
        </is>
      </c>
      <c r="C195" s="109" t="n">
        <v>50000</v>
      </c>
    </row>
    <row r="196">
      <c r="A196" s="105" t="n">
        <v>46015</v>
      </c>
      <c r="B196" s="106" t="inlineStr">
        <is>
          <t>Brubank  -  Facundo</t>
        </is>
      </c>
      <c r="C196" s="107" t="n">
        <v>9000</v>
      </c>
    </row>
    <row r="197">
      <c r="A197" s="53" t="n">
        <v>46015</v>
      </c>
      <c r="B197" s="77" t="inlineStr">
        <is>
          <t>Brubank  -  Facundo</t>
        </is>
      </c>
      <c r="C197" s="109" t="n">
        <v>4000</v>
      </c>
    </row>
    <row r="198">
      <c r="A198" s="105" t="n">
        <v>46015</v>
      </c>
      <c r="B198" s="106" t="inlineStr">
        <is>
          <t>Brubank  -  Facundo</t>
        </is>
      </c>
      <c r="C198" s="107" t="n">
        <v>35000</v>
      </c>
    </row>
    <row r="199">
      <c r="A199" s="53" t="n">
        <v>46015</v>
      </c>
      <c r="B199" s="77" t="inlineStr">
        <is>
          <t>Brubank  -  Facundo</t>
        </is>
      </c>
      <c r="C199" s="109" t="n">
        <v>19800</v>
      </c>
    </row>
    <row r="200">
      <c r="A200" s="105" t="n">
        <v>46015</v>
      </c>
      <c r="B200" s="106" t="inlineStr">
        <is>
          <t>Personal Pay  - Facundo</t>
        </is>
      </c>
      <c r="C200" s="107" t="n">
        <v>26500</v>
      </c>
    </row>
    <row r="201">
      <c r="A201" s="53" t="n">
        <v>46015</v>
      </c>
      <c r="B201" s="77" t="inlineStr">
        <is>
          <t>Brubank  -  Facundo</t>
        </is>
      </c>
      <c r="C201" s="109" t="n">
        <v>125000</v>
      </c>
    </row>
    <row r="202">
      <c r="A202" s="105" t="n">
        <v>46015</v>
      </c>
      <c r="B202" s="106" t="inlineStr">
        <is>
          <t>Personal Pay  - Facundo</t>
        </is>
      </c>
      <c r="C202" s="107" t="n">
        <v>2100</v>
      </c>
    </row>
    <row r="203">
      <c r="A203" s="53" t="n">
        <v>46015</v>
      </c>
      <c r="B203" s="77" t="inlineStr">
        <is>
          <t>Personal Pay  - Facundo</t>
        </is>
      </c>
      <c r="C203" s="109" t="n">
        <v>79300</v>
      </c>
    </row>
    <row r="204">
      <c r="A204" s="105" t="n">
        <v>46015</v>
      </c>
      <c r="B204" s="106" t="inlineStr">
        <is>
          <t>Personal Pay  - Facundo</t>
        </is>
      </c>
      <c r="C204" s="107" t="n">
        <v>70000</v>
      </c>
    </row>
    <row r="205">
      <c r="A205" s="53" t="n">
        <v>46015</v>
      </c>
      <c r="B205" s="77" t="inlineStr">
        <is>
          <t>Personal Pay  - Facundo</t>
        </is>
      </c>
      <c r="C205" s="109" t="n">
        <v>73000</v>
      </c>
    </row>
    <row r="206">
      <c r="A206" s="105" t="n">
        <v>46015</v>
      </c>
      <c r="B206" s="106" t="inlineStr">
        <is>
          <t>Personal Pay  - Facundo</t>
        </is>
      </c>
      <c r="C206" s="107" t="n">
        <v>5900</v>
      </c>
    </row>
    <row r="207">
      <c r="A207" s="53" t="n">
        <v>46015</v>
      </c>
      <c r="B207" s="77" t="inlineStr">
        <is>
          <t>Personal Pay  - Facundo</t>
        </is>
      </c>
      <c r="C207" s="109" t="n">
        <v>19000</v>
      </c>
    </row>
    <row r="208">
      <c r="A208" s="105" t="n">
        <v>46015</v>
      </c>
      <c r="B208" s="106" t="inlineStr">
        <is>
          <t>Personal Pay  - Facundo</t>
        </is>
      </c>
      <c r="C208" s="107" t="n">
        <v>9500</v>
      </c>
    </row>
    <row r="209">
      <c r="A209" s="53" t="n">
        <v>46015</v>
      </c>
      <c r="B209" s="77" t="inlineStr">
        <is>
          <t>Personal Pay  - Facundo</t>
        </is>
      </c>
      <c r="C209" s="109" t="n">
        <v>27000</v>
      </c>
    </row>
    <row r="210">
      <c r="A210" s="105" t="n">
        <v>46015</v>
      </c>
      <c r="B210" s="106" t="inlineStr">
        <is>
          <t>Personal Pay  - Facundo</t>
        </is>
      </c>
      <c r="C210" s="107" t="n">
        <v>34800</v>
      </c>
    </row>
    <row r="211">
      <c r="A211" s="53" t="n">
        <v>46015</v>
      </c>
      <c r="B211" s="77" t="inlineStr">
        <is>
          <t>Personal Pay  - Facundo</t>
        </is>
      </c>
      <c r="C211" s="109" t="n">
        <v>105000</v>
      </c>
    </row>
    <row r="212">
      <c r="A212" s="105" t="n">
        <v>46015</v>
      </c>
      <c r="B212" s="106" t="inlineStr">
        <is>
          <t>Personal Pay  - Facundo</t>
        </is>
      </c>
      <c r="C212" s="107" t="n">
        <v>50000</v>
      </c>
    </row>
    <row r="213">
      <c r="A213" s="53" t="n">
        <v>46015</v>
      </c>
      <c r="B213" s="77" t="inlineStr">
        <is>
          <t>Personal Pay  - Facundo</t>
        </is>
      </c>
      <c r="C213" s="109" t="n">
        <v>1300</v>
      </c>
    </row>
    <row r="214">
      <c r="A214" s="105" t="n">
        <v>46015</v>
      </c>
      <c r="B214" s="106" t="inlineStr">
        <is>
          <t>Personal Pay  - Facundo</t>
        </is>
      </c>
      <c r="C214" s="107" t="n">
        <v>1300</v>
      </c>
    </row>
    <row r="215">
      <c r="A215" s="53" t="n">
        <v>46015</v>
      </c>
      <c r="B215" s="77" t="inlineStr">
        <is>
          <t>Personal Pay  - Facundo</t>
        </is>
      </c>
      <c r="C215" s="109" t="n">
        <v>9000</v>
      </c>
    </row>
    <row r="216">
      <c r="A216" s="105" t="n">
        <v>46015</v>
      </c>
      <c r="B216" s="106" t="inlineStr">
        <is>
          <t>Personal Pay  - Facundo</t>
        </is>
      </c>
      <c r="C216" s="107" t="n">
        <v>1500</v>
      </c>
    </row>
    <row r="217">
      <c r="A217" s="53" t="n">
        <v>46018</v>
      </c>
      <c r="B217" s="77" t="inlineStr">
        <is>
          <t>Personal Pay  - Facundo</t>
        </is>
      </c>
      <c r="C217" s="109" t="n">
        <v>51500</v>
      </c>
    </row>
    <row r="218">
      <c r="A218" s="105" t="n">
        <v>46018</v>
      </c>
      <c r="B218" s="106" t="inlineStr">
        <is>
          <t>Personal Pay  - Facundo</t>
        </is>
      </c>
      <c r="C218" s="107" t="n">
        <v>42000</v>
      </c>
    </row>
    <row r="219">
      <c r="A219" s="53" t="n">
        <v>46018</v>
      </c>
      <c r="B219" s="77" t="inlineStr">
        <is>
          <t>Personal Pay  - Facundo</t>
        </is>
      </c>
      <c r="C219" s="109" t="n">
        <v>32500</v>
      </c>
    </row>
    <row r="220">
      <c r="A220" s="105" t="n">
        <v>46018</v>
      </c>
      <c r="B220" s="106" t="inlineStr">
        <is>
          <t>Personal Pay  - Facundo</t>
        </is>
      </c>
      <c r="C220" s="107" t="n">
        <v>61000</v>
      </c>
    </row>
    <row r="221">
      <c r="A221" s="53" t="n">
        <v>46019</v>
      </c>
      <c r="B221" s="77" t="inlineStr">
        <is>
          <t>Personal Pay  - Facundo</t>
        </is>
      </c>
      <c r="C221" s="109" t="n">
        <v>23500</v>
      </c>
    </row>
    <row r="222">
      <c r="A222" s="105" t="n">
        <v>46019</v>
      </c>
      <c r="B222" s="106" t="inlineStr">
        <is>
          <t>Mercado Pago - Facundo</t>
        </is>
      </c>
      <c r="C222" s="107" t="n">
        <v>50500</v>
      </c>
    </row>
    <row r="223">
      <c r="A223" s="53" t="n">
        <v>46019</v>
      </c>
      <c r="B223" s="77" t="inlineStr">
        <is>
          <t>Mercado Pago - Facundo</t>
        </is>
      </c>
      <c r="C223" s="109" t="n">
        <v>50000</v>
      </c>
    </row>
    <row r="224">
      <c r="A224" s="105" t="n">
        <v>46020</v>
      </c>
      <c r="B224" s="106" t="inlineStr">
        <is>
          <t>Mercado Pago - Facundo</t>
        </is>
      </c>
      <c r="C224" s="107" t="n">
        <v>23000</v>
      </c>
    </row>
    <row r="225">
      <c r="A225" s="53" t="n">
        <v>46020</v>
      </c>
      <c r="B225" s="77" t="inlineStr">
        <is>
          <t>Mercado Pago - Facundo</t>
        </is>
      </c>
      <c r="C225" s="109" t="n">
        <v>36000</v>
      </c>
    </row>
    <row r="226">
      <c r="A226" s="105" t="n">
        <v>46020</v>
      </c>
      <c r="B226" s="106" t="inlineStr">
        <is>
          <t>Mercado Pago - Facundo</t>
        </is>
      </c>
      <c r="C226" s="107" t="n">
        <v>28500</v>
      </c>
    </row>
    <row r="227">
      <c r="A227" s="53" t="n">
        <v>46021</v>
      </c>
      <c r="B227" s="77" t="inlineStr">
        <is>
          <t>Mercado Pago - Facundo</t>
        </is>
      </c>
      <c r="C227" s="109" t="n">
        <v>170000</v>
      </c>
    </row>
    <row r="228">
      <c r="A228" s="105" t="n">
        <v>46021</v>
      </c>
      <c r="B228" s="106" t="inlineStr">
        <is>
          <t>Mercado Pago - Facundo</t>
        </is>
      </c>
      <c r="C228" s="107" t="n">
        <v>130000</v>
      </c>
    </row>
    <row r="229">
      <c r="A229" s="53" t="n">
        <v>46021</v>
      </c>
      <c r="B229" s="77" t="inlineStr">
        <is>
          <t>Mercado Pago - Facundo</t>
        </is>
      </c>
      <c r="C229" s="109" t="n">
        <v>23500</v>
      </c>
    </row>
    <row r="230">
      <c r="A230" s="105" t="n">
        <v>46021</v>
      </c>
      <c r="B230" s="106" t="inlineStr">
        <is>
          <t>Mercado Pago - Facundo</t>
        </is>
      </c>
      <c r="C230" s="107" t="n">
        <v>38000</v>
      </c>
    </row>
    <row r="231">
      <c r="A231" s="53" t="n">
        <v>46021</v>
      </c>
      <c r="B231" s="77" t="inlineStr">
        <is>
          <t>Mercado Pago - Facundo</t>
        </is>
      </c>
      <c r="C231" s="109" t="n">
        <v>59500</v>
      </c>
    </row>
    <row r="232">
      <c r="A232" s="105" t="n">
        <v>46021</v>
      </c>
      <c r="B232" s="106" t="inlineStr">
        <is>
          <t>Mercado Pago - Facundo</t>
        </is>
      </c>
      <c r="C232" s="107" t="n">
        <v>48000</v>
      </c>
    </row>
    <row r="233">
      <c r="A233" s="53" t="n">
        <v>46022</v>
      </c>
      <c r="B233" s="77" t="inlineStr">
        <is>
          <t>Mercado Pago - Facundo</t>
        </is>
      </c>
      <c r="C233" s="109" t="n">
        <v>24700</v>
      </c>
    </row>
    <row r="234">
      <c r="A234" s="105" t="n">
        <v>46022</v>
      </c>
      <c r="B234" s="106" t="inlineStr">
        <is>
          <t>Mercado Pago - Facundo</t>
        </is>
      </c>
      <c r="C234" s="107" t="n">
        <v>96000</v>
      </c>
    </row>
    <row r="235">
      <c r="A235" s="53" t="n">
        <v>46022</v>
      </c>
      <c r="B235" s="77" t="inlineStr">
        <is>
          <t>Naranja</t>
        </is>
      </c>
      <c r="C235" s="109" t="n">
        <v>18600</v>
      </c>
    </row>
    <row r="236">
      <c r="A236" s="105" t="n">
        <v>46022</v>
      </c>
      <c r="B236" s="106" t="inlineStr">
        <is>
          <t>Naranja</t>
        </is>
      </c>
      <c r="C236" s="107" t="n">
        <v>68700</v>
      </c>
    </row>
    <row r="237">
      <c r="A237" s="53" t="n">
        <v>46022</v>
      </c>
      <c r="B237" s="77" t="inlineStr">
        <is>
          <t>Naranja</t>
        </is>
      </c>
      <c r="C237" s="109" t="n">
        <v>5000</v>
      </c>
    </row>
    <row r="238">
      <c r="A238" s="105" t="n">
        <v>46022</v>
      </c>
      <c r="B238" s="106" t="inlineStr">
        <is>
          <t>Naranja</t>
        </is>
      </c>
      <c r="C238" s="107" t="n">
        <v>98000</v>
      </c>
    </row>
    <row r="239">
      <c r="A239" s="53" t="n">
        <v>46022</v>
      </c>
      <c r="B239" s="77" t="inlineStr">
        <is>
          <t>Naranja</t>
        </is>
      </c>
      <c r="C239" s="109" t="n">
        <v>9500</v>
      </c>
    </row>
    <row r="240">
      <c r="A240" s="105" t="n">
        <v>46022</v>
      </c>
      <c r="B240" s="106" t="inlineStr">
        <is>
          <t>Naranja</t>
        </is>
      </c>
      <c r="C240" s="107" t="n">
        <v>34500</v>
      </c>
    </row>
    <row r="241">
      <c r="A241" s="53" t="n">
        <v>46022</v>
      </c>
      <c r="B241" s="77" t="inlineStr">
        <is>
          <t>Naranja</t>
        </is>
      </c>
      <c r="C241" s="109" t="n">
        <v>25000</v>
      </c>
    </row>
    <row r="242">
      <c r="A242" s="105" t="n">
        <v>46022</v>
      </c>
      <c r="B242" s="106" t="inlineStr">
        <is>
          <t>Naranja</t>
        </is>
      </c>
      <c r="C242" s="107" t="n">
        <v>34000</v>
      </c>
    </row>
    <row r="243">
      <c r="A243" s="53" t="n">
        <v>46022</v>
      </c>
      <c r="B243" s="77" t="inlineStr">
        <is>
          <t>Naranja</t>
        </is>
      </c>
      <c r="C243" s="109" t="n">
        <v>28500</v>
      </c>
    </row>
    <row r="244">
      <c r="A244" s="105" t="n">
        <v>46022</v>
      </c>
      <c r="B244" s="106" t="inlineStr">
        <is>
          <t>Naranja</t>
        </is>
      </c>
      <c r="C244" s="107" t="n">
        <v>48300</v>
      </c>
    </row>
    <row r="245">
      <c r="A245" s="53" t="n">
        <v>46022</v>
      </c>
      <c r="B245" s="77" t="inlineStr">
        <is>
          <t>Naranja</t>
        </is>
      </c>
      <c r="C245" s="109" t="n">
        <v>4570</v>
      </c>
    </row>
    <row r="246">
      <c r="A246" s="105" t="n">
        <v>46022</v>
      </c>
      <c r="B246" s="106" t="inlineStr">
        <is>
          <t>Naranja</t>
        </is>
      </c>
      <c r="C246" s="107" t="n">
        <v>65500</v>
      </c>
    </row>
    <row r="247">
      <c r="A247" s="53" t="n">
        <v>46022</v>
      </c>
      <c r="B247" s="77" t="inlineStr">
        <is>
          <t>Naranja</t>
        </is>
      </c>
      <c r="C247" s="109" t="n">
        <v>54000</v>
      </c>
    </row>
    <row r="248">
      <c r="A248" s="105" t="n">
        <v>46022</v>
      </c>
      <c r="B248" s="106" t="inlineStr">
        <is>
          <t>Naranja</t>
        </is>
      </c>
      <c r="C248" s="107" t="n">
        <v>88000</v>
      </c>
    </row>
    <row r="249">
      <c r="A249" s="53" t="n">
        <v>46024</v>
      </c>
      <c r="B249" s="77" t="inlineStr">
        <is>
          <t>Mercado Pago</t>
        </is>
      </c>
      <c r="C249" s="109" t="n">
        <v>51000</v>
      </c>
    </row>
    <row r="250">
      <c r="A250" s="105" t="n">
        <v>46024</v>
      </c>
      <c r="B250" s="106" t="inlineStr">
        <is>
          <t>Mercado Pago</t>
        </is>
      </c>
      <c r="C250" s="107" t="n">
        <v>6500</v>
      </c>
    </row>
    <row r="251">
      <c r="A251" s="53" t="n">
        <v>46024</v>
      </c>
      <c r="B251" s="77" t="inlineStr">
        <is>
          <t>Naranja</t>
        </is>
      </c>
      <c r="C251" s="109" t="n">
        <v>7000</v>
      </c>
    </row>
    <row r="252">
      <c r="A252" s="105" t="n">
        <v>46024</v>
      </c>
      <c r="B252" s="106" t="inlineStr">
        <is>
          <t>Naranja</t>
        </is>
      </c>
      <c r="C252" s="107" t="n">
        <v>9000</v>
      </c>
    </row>
    <row r="253">
      <c r="A253" s="53" t="n">
        <v>46024</v>
      </c>
      <c r="B253" s="77" t="inlineStr">
        <is>
          <t>Naranja</t>
        </is>
      </c>
      <c r="C253" s="109" t="n">
        <v>30800</v>
      </c>
    </row>
    <row r="254">
      <c r="A254" s="105" t="n">
        <v>46024</v>
      </c>
      <c r="B254" s="106" t="inlineStr">
        <is>
          <t>Mercado Pago</t>
        </is>
      </c>
      <c r="C254" s="107" t="n">
        <v>4800</v>
      </c>
    </row>
    <row r="255">
      <c r="A255" s="53" t="n">
        <v>46024</v>
      </c>
      <c r="B255" s="77" t="inlineStr">
        <is>
          <t>Mercado Pago</t>
        </is>
      </c>
      <c r="C255" s="109" t="n">
        <v>8000</v>
      </c>
    </row>
    <row r="256">
      <c r="A256" s="105" t="n">
        <v>46024</v>
      </c>
      <c r="B256" s="106" t="inlineStr">
        <is>
          <t>Mercado Pago</t>
        </is>
      </c>
      <c r="C256" s="107" t="n">
        <v>9800</v>
      </c>
    </row>
    <row r="257">
      <c r="A257" s="53" t="n">
        <v>46025</v>
      </c>
      <c r="B257" s="77" t="inlineStr">
        <is>
          <t>Mercado Pago</t>
        </is>
      </c>
      <c r="C257" s="109" t="n">
        <v>27500</v>
      </c>
    </row>
    <row r="258">
      <c r="A258" s="105" t="n">
        <v>46025</v>
      </c>
      <c r="B258" s="106" t="inlineStr">
        <is>
          <t>Mercado Pago</t>
        </is>
      </c>
      <c r="C258" s="107" t="n">
        <v>51800</v>
      </c>
    </row>
    <row r="259">
      <c r="A259" s="53" t="n">
        <v>46026</v>
      </c>
      <c r="B259" s="77" t="inlineStr">
        <is>
          <t>Mercado Pago</t>
        </is>
      </c>
      <c r="C259" s="109" t="n">
        <v>57000</v>
      </c>
    </row>
    <row r="260">
      <c r="A260" s="105" t="n">
        <v>46028</v>
      </c>
      <c r="B260" s="106" t="inlineStr">
        <is>
          <t>Mercado Pago</t>
        </is>
      </c>
      <c r="C260" s="107" t="n">
        <v>22500</v>
      </c>
    </row>
    <row r="261">
      <c r="A261" s="53" t="n">
        <v>46028</v>
      </c>
      <c r="B261" s="77" t="inlineStr">
        <is>
          <t>Mercado Pago</t>
        </is>
      </c>
      <c r="C261" s="109" t="n">
        <v>26000</v>
      </c>
    </row>
    <row r="262">
      <c r="A262" s="105" t="n">
        <v>46029</v>
      </c>
      <c r="B262" s="106" t="inlineStr">
        <is>
          <t>Mercado Pago</t>
        </is>
      </c>
      <c r="C262" s="107" t="n">
        <v>64000</v>
      </c>
    </row>
    <row r="263">
      <c r="A263" s="53" t="n">
        <v>46029</v>
      </c>
      <c r="B263" s="77" t="inlineStr">
        <is>
          <t>Mercado Pago</t>
        </is>
      </c>
      <c r="C263" s="109" t="n">
        <v>5000</v>
      </c>
    </row>
    <row r="264">
      <c r="A264" s="105" t="n">
        <v>46030</v>
      </c>
      <c r="B264" s="106" t="inlineStr">
        <is>
          <t>Mercado Pago</t>
        </is>
      </c>
      <c r="C264" s="107" t="n">
        <v>56300</v>
      </c>
    </row>
    <row r="265">
      <c r="A265" s="53" t="n">
        <v>46031</v>
      </c>
      <c r="B265" s="77" t="inlineStr">
        <is>
          <t>Mercado Pago</t>
        </is>
      </c>
      <c r="C265" s="109" t="n">
        <v>28000</v>
      </c>
    </row>
    <row r="266">
      <c r="A266" s="105" t="n">
        <v>46032</v>
      </c>
      <c r="B266" s="106" t="inlineStr">
        <is>
          <t>Mercado Pago</t>
        </is>
      </c>
      <c r="C266" s="107" t="n">
        <v>31000</v>
      </c>
    </row>
    <row r="267">
      <c r="A267" s="53" t="n">
        <v>46032</v>
      </c>
      <c r="B267" s="77" t="inlineStr">
        <is>
          <t>Mercado Pago</t>
        </is>
      </c>
      <c r="C267" s="109" t="n">
        <v>57000</v>
      </c>
    </row>
    <row r="268">
      <c r="A268" s="105" t="n">
        <v>46032</v>
      </c>
      <c r="B268" s="106" t="inlineStr">
        <is>
          <t>Mercado Pago</t>
        </is>
      </c>
      <c r="C268" s="107" t="n">
        <v>5000</v>
      </c>
    </row>
    <row r="269">
      <c r="A269" s="53" t="n">
        <v>46032</v>
      </c>
      <c r="B269" s="77" t="inlineStr">
        <is>
          <t>Mercado Pago</t>
        </is>
      </c>
      <c r="C269" s="109" t="n">
        <v>13000</v>
      </c>
    </row>
    <row r="270">
      <c r="A270" s="105" t="n">
        <v>46033</v>
      </c>
      <c r="B270" s="106" t="inlineStr">
        <is>
          <t>Mercado Pago</t>
        </is>
      </c>
      <c r="C270" s="107" t="n">
        <v>64000</v>
      </c>
    </row>
    <row r="271">
      <c r="A271" s="53" t="n">
        <v>46034</v>
      </c>
      <c r="B271" s="77" t="inlineStr">
        <is>
          <t>Mercado Pago</t>
        </is>
      </c>
      <c r="C271" s="109" t="n">
        <v>7800</v>
      </c>
    </row>
    <row r="272">
      <c r="A272" s="105" t="n">
        <v>46034</v>
      </c>
      <c r="B272" s="106" t="inlineStr">
        <is>
          <t>Mercado Pago</t>
        </is>
      </c>
      <c r="C272" s="107" t="n">
        <v>15000</v>
      </c>
    </row>
    <row r="273">
      <c r="A273" s="53" t="n">
        <v>46034</v>
      </c>
      <c r="B273" s="77" t="inlineStr">
        <is>
          <t>Mercado Pago</t>
        </is>
      </c>
      <c r="C273" s="109" t="n">
        <v>3500</v>
      </c>
    </row>
    <row r="274">
      <c r="A274" s="105" t="n">
        <v>46034</v>
      </c>
      <c r="B274" s="106" t="inlineStr">
        <is>
          <t>Mercado Pago</t>
        </is>
      </c>
      <c r="C274" s="107" t="n">
        <v>12080</v>
      </c>
    </row>
    <row r="275">
      <c r="A275" s="53" t="n">
        <v>46035</v>
      </c>
      <c r="B275" s="77" t="inlineStr">
        <is>
          <t>Mercado Pago</t>
        </is>
      </c>
      <c r="C275" s="109" t="n">
        <v>51900</v>
      </c>
    </row>
    <row r="276">
      <c r="A276" s="105" t="n">
        <v>46035</v>
      </c>
      <c r="B276" s="106" t="inlineStr">
        <is>
          <t>Mercado Pago</t>
        </is>
      </c>
      <c r="C276" s="107" t="n">
        <v>51900</v>
      </c>
    </row>
    <row r="277">
      <c r="A277" s="53" t="n">
        <v>46037</v>
      </c>
      <c r="B277" s="77" t="inlineStr">
        <is>
          <t>Personal Pay</t>
        </is>
      </c>
      <c r="C277" s="109" t="n">
        <v>46000</v>
      </c>
    </row>
    <row r="278">
      <c r="A278" s="105" t="n">
        <v>46037</v>
      </c>
      <c r="B278" s="106" t="inlineStr">
        <is>
          <t>Personal Pay</t>
        </is>
      </c>
      <c r="C278" s="107" t="n">
        <v>6500</v>
      </c>
    </row>
    <row r="279">
      <c r="A279" s="53" t="n">
        <v>46038</v>
      </c>
      <c r="B279" s="77" t="inlineStr">
        <is>
          <t>Personal Pay</t>
        </is>
      </c>
      <c r="C279" s="109" t="n">
        <v>31500</v>
      </c>
    </row>
    <row r="280">
      <c r="A280" s="105" t="n">
        <v>46038</v>
      </c>
      <c r="B280" s="106" t="inlineStr">
        <is>
          <t>Personal Pay</t>
        </is>
      </c>
      <c r="C280" s="107" t="n">
        <v>9500</v>
      </c>
    </row>
    <row r="281">
      <c r="A281" s="53" t="n">
        <v>46038</v>
      </c>
      <c r="B281" s="77" t="inlineStr">
        <is>
          <t>Personal Pay</t>
        </is>
      </c>
      <c r="C281" s="109" t="n">
        <v>15200</v>
      </c>
    </row>
    <row r="282">
      <c r="A282" s="105" t="n">
        <v>46038</v>
      </c>
      <c r="B282" s="106" t="inlineStr">
        <is>
          <t>Personal Pay</t>
        </is>
      </c>
      <c r="C282" s="107" t="n">
        <v>3500</v>
      </c>
    </row>
    <row r="283">
      <c r="A283" s="53" t="n">
        <v>46038</v>
      </c>
      <c r="B283" s="77" t="inlineStr">
        <is>
          <t>Personal Pay</t>
        </is>
      </c>
      <c r="C283" s="109" t="n">
        <v>5000</v>
      </c>
    </row>
    <row r="284">
      <c r="A284" s="105" t="n">
        <v>46038</v>
      </c>
      <c r="B284" s="106" t="inlineStr">
        <is>
          <t>Personal Pay</t>
        </is>
      </c>
      <c r="C284" s="107" t="n">
        <v>6000</v>
      </c>
    </row>
    <row r="285">
      <c r="A285" s="53" t="n">
        <v>46039</v>
      </c>
      <c r="B285" s="77" t="inlineStr">
        <is>
          <t>Personal Pay</t>
        </is>
      </c>
      <c r="C285" s="109" t="n">
        <v>50000</v>
      </c>
    </row>
    <row r="286">
      <c r="A286" s="105" t="n">
        <v>46039</v>
      </c>
      <c r="B286" s="106" t="inlineStr">
        <is>
          <t>Personal Pay</t>
        </is>
      </c>
      <c r="C286" s="107" t="n">
        <v>10000</v>
      </c>
    </row>
    <row r="287">
      <c r="A287" s="53" t="n">
        <v>46039</v>
      </c>
      <c r="B287" s="77" t="inlineStr">
        <is>
          <t>Personal Pay</t>
        </is>
      </c>
      <c r="C287" s="109" t="n">
        <v>24500</v>
      </c>
    </row>
    <row r="288">
      <c r="A288" s="105" t="n">
        <v>46039</v>
      </c>
      <c r="B288" s="106" t="inlineStr">
        <is>
          <t>Personal Pay</t>
        </is>
      </c>
      <c r="C288" s="107" t="n">
        <v>46000</v>
      </c>
    </row>
    <row r="289">
      <c r="A289" s="53" t="n">
        <v>46040</v>
      </c>
      <c r="B289" s="77" t="inlineStr">
        <is>
          <t>Personal Pay</t>
        </is>
      </c>
      <c r="C289" s="109" t="n">
        <v>12500</v>
      </c>
    </row>
    <row r="290">
      <c r="A290" s="105" t="n">
        <v>46040</v>
      </c>
      <c r="B290" s="106" t="inlineStr">
        <is>
          <t>Personal Pay</t>
        </is>
      </c>
      <c r="C290" s="107" t="n">
        <v>102500</v>
      </c>
    </row>
    <row r="291">
      <c r="A291" s="53" t="n">
        <v>46040</v>
      </c>
      <c r="B291" s="77" t="inlineStr">
        <is>
          <t>Personal Pay</t>
        </is>
      </c>
      <c r="C291" s="109" t="n">
        <v>11500</v>
      </c>
    </row>
    <row r="292">
      <c r="A292" s="105" t="n">
        <v>46042</v>
      </c>
      <c r="B292" s="106" t="inlineStr">
        <is>
          <t>Personal Pay</t>
        </is>
      </c>
      <c r="C292" s="107" t="n">
        <v>52000</v>
      </c>
    </row>
    <row r="293">
      <c r="A293" s="53" t="n">
        <v>46042</v>
      </c>
      <c r="B293" s="77" t="inlineStr">
        <is>
          <t>Personal Pay</t>
        </is>
      </c>
      <c r="C293" s="109" t="n">
        <v>25000</v>
      </c>
    </row>
    <row r="294">
      <c r="A294" s="105" t="n">
        <v>46043</v>
      </c>
      <c r="B294" s="106" t="inlineStr">
        <is>
          <t>Personal Pay</t>
        </is>
      </c>
      <c r="C294" s="107" t="n">
        <v>28200</v>
      </c>
    </row>
    <row r="295">
      <c r="A295" s="53" t="n">
        <v>46043</v>
      </c>
      <c r="B295" s="77" t="inlineStr">
        <is>
          <t>Personal Pay</t>
        </is>
      </c>
      <c r="C295" s="109" t="n">
        <v>5500</v>
      </c>
    </row>
    <row r="296">
      <c r="A296" s="105" t="n">
        <v>46043</v>
      </c>
      <c r="B296" s="106" t="inlineStr">
        <is>
          <t>Personal Pay</t>
        </is>
      </c>
      <c r="C296" s="107" t="n">
        <v>6500</v>
      </c>
    </row>
    <row r="297">
      <c r="A297" s="53" t="n">
        <v>46043</v>
      </c>
      <c r="B297" s="77" t="inlineStr">
        <is>
          <t>Personal Pay</t>
        </is>
      </c>
      <c r="C297" s="109" t="n">
        <v>35000</v>
      </c>
    </row>
    <row r="298">
      <c r="A298" s="105" t="n">
        <v>46043</v>
      </c>
      <c r="B298" s="106" t="inlineStr">
        <is>
          <t>Personal Pay</t>
        </is>
      </c>
      <c r="C298" s="107" t="n">
        <v>9500</v>
      </c>
    </row>
    <row r="299">
      <c r="A299" s="53" t="n">
        <v>46043</v>
      </c>
      <c r="B299" s="77" t="inlineStr">
        <is>
          <t>Personal Pay</t>
        </is>
      </c>
      <c r="C299" s="109" t="n">
        <v>7000</v>
      </c>
    </row>
    <row r="300">
      <c r="A300" s="105" t="n">
        <v>46043</v>
      </c>
      <c r="B300" s="106" t="inlineStr">
        <is>
          <t>Personal Pay</t>
        </is>
      </c>
      <c r="C300" s="107" t="n">
        <v>27000</v>
      </c>
    </row>
    <row r="301">
      <c r="A301" s="53" t="n">
        <v>46043</v>
      </c>
      <c r="B301" s="77" t="inlineStr">
        <is>
          <t>Personal Pay</t>
        </is>
      </c>
      <c r="C301" s="109" t="n">
        <v>50000</v>
      </c>
    </row>
    <row r="302">
      <c r="A302" s="105" t="n">
        <v>46043</v>
      </c>
      <c r="B302" s="106" t="inlineStr">
        <is>
          <t>Personal Pay</t>
        </is>
      </c>
      <c r="C302" s="107" t="n">
        <v>30000</v>
      </c>
    </row>
    <row r="303">
      <c r="A303" s="53" t="n">
        <v>46043</v>
      </c>
      <c r="B303" s="77" t="inlineStr">
        <is>
          <t>Personal Pay</t>
        </is>
      </c>
      <c r="C303" s="109" t="n">
        <v>25500</v>
      </c>
    </row>
    <row r="304">
      <c r="A304" s="105" t="n">
        <v>46044</v>
      </c>
      <c r="B304" s="106" t="inlineStr">
        <is>
          <t>Personal Pay</t>
        </is>
      </c>
      <c r="C304" s="107" t="n">
        <v>95200</v>
      </c>
    </row>
    <row r="305">
      <c r="A305" s="53" t="n">
        <v>46045</v>
      </c>
      <c r="B305" s="77" t="inlineStr">
        <is>
          <t>Personal Pay</t>
        </is>
      </c>
      <c r="C305" s="109" t="n">
        <v>45500</v>
      </c>
    </row>
    <row r="306">
      <c r="A306" s="105" t="n">
        <v>46045</v>
      </c>
      <c r="B306" s="106" t="inlineStr">
        <is>
          <t>Personal Pay</t>
        </is>
      </c>
      <c r="C306" s="107" t="n">
        <v>57900</v>
      </c>
    </row>
    <row r="307">
      <c r="A307" s="53" t="n">
        <v>46046</v>
      </c>
      <c r="B307" s="77" t="inlineStr">
        <is>
          <t>Personal Pay</t>
        </is>
      </c>
      <c r="C307" s="109" t="n">
        <v>22500</v>
      </c>
    </row>
    <row r="308">
      <c r="A308" s="105" t="n">
        <v>46046</v>
      </c>
      <c r="B308" s="106" t="inlineStr">
        <is>
          <t>Personal Pay</t>
        </is>
      </c>
      <c r="C308" s="107" t="n">
        <v>47000</v>
      </c>
    </row>
    <row r="309">
      <c r="A309" s="53" t="n">
        <v>46049</v>
      </c>
      <c r="B309" s="77" t="inlineStr">
        <is>
          <t>Naranja</t>
        </is>
      </c>
      <c r="C309" s="109" t="n">
        <v>14300</v>
      </c>
    </row>
    <row r="310">
      <c r="A310" s="105" t="n">
        <v>46051</v>
      </c>
      <c r="B310" s="106" t="inlineStr">
        <is>
          <t>Naranja</t>
        </is>
      </c>
      <c r="C310" s="107" t="n">
        <v>37500</v>
      </c>
    </row>
    <row r="311">
      <c r="A311" s="53" t="n">
        <v>46050</v>
      </c>
      <c r="B311" s="77" t="inlineStr">
        <is>
          <t>Naranja</t>
        </is>
      </c>
      <c r="C311" s="109" t="n">
        <v>37500</v>
      </c>
    </row>
    <row r="312">
      <c r="A312" s="105" t="n">
        <v>46051</v>
      </c>
      <c r="B312" s="106" t="inlineStr">
        <is>
          <t>Naranja</t>
        </is>
      </c>
      <c r="C312" s="107" t="n">
        <v>61000</v>
      </c>
    </row>
    <row r="313">
      <c r="A313" s="53" t="n">
        <v>46051</v>
      </c>
      <c r="B313" s="77" t="inlineStr">
        <is>
          <t>Naranja</t>
        </is>
      </c>
      <c r="C313" s="109" t="n">
        <v>111700</v>
      </c>
    </row>
    <row r="314">
      <c r="A314" s="105" t="n">
        <v>46052</v>
      </c>
      <c r="B314" s="106" t="inlineStr">
        <is>
          <t>Naranja</t>
        </is>
      </c>
      <c r="C314" s="107" t="n">
        <v>54500</v>
      </c>
    </row>
    <row r="315">
      <c r="A315" s="53" t="n">
        <v>46052</v>
      </c>
      <c r="B315" s="77" t="inlineStr">
        <is>
          <t>Naranja</t>
        </is>
      </c>
      <c r="C315" s="109" t="n">
        <v>71000</v>
      </c>
    </row>
    <row r="316">
      <c r="A316" s="105" t="n">
        <v>46053</v>
      </c>
      <c r="B316" s="106" t="inlineStr">
        <is>
          <t>Naranja</t>
        </is>
      </c>
      <c r="C316" s="107" t="n">
        <v>6500</v>
      </c>
    </row>
    <row r="317">
      <c r="A317" s="53" t="n">
        <v>46053</v>
      </c>
      <c r="B317" s="77" t="inlineStr">
        <is>
          <t>Naranja</t>
        </is>
      </c>
      <c r="C317" s="109" t="n">
        <v>61800</v>
      </c>
    </row>
    <row r="318">
      <c r="A318" s="105" t="n">
        <v>46053</v>
      </c>
      <c r="B318" s="106" t="inlineStr">
        <is>
          <t>Naranja</t>
        </is>
      </c>
      <c r="C318" s="107" t="n">
        <v>9500</v>
      </c>
    </row>
    <row r="319">
      <c r="A319" s="53" t="n">
        <v>46053</v>
      </c>
      <c r="B319" s="77" t="inlineStr">
        <is>
          <t>Naranja</t>
        </is>
      </c>
      <c r="C319" s="109" t="n">
        <v>25000</v>
      </c>
    </row>
    <row r="320">
      <c r="A320" s="105" t="n">
        <v>46054</v>
      </c>
      <c r="B320" s="106" t="inlineStr">
        <is>
          <t>Naranja</t>
        </is>
      </c>
      <c r="C320" s="107" t="n">
        <v>16500</v>
      </c>
    </row>
    <row r="321">
      <c r="A321" s="53" t="n">
        <v>46054</v>
      </c>
      <c r="B321" s="77" t="inlineStr">
        <is>
          <t>Naranja</t>
        </is>
      </c>
      <c r="C321" s="109" t="n">
        <v>15500</v>
      </c>
    </row>
    <row r="322">
      <c r="A322" s="105" t="n">
        <v>46054</v>
      </c>
      <c r="B322" s="106" t="inlineStr">
        <is>
          <t>Naranja</t>
        </is>
      </c>
      <c r="C322" s="107" t="n">
        <v>5000</v>
      </c>
    </row>
    <row r="323">
      <c r="A323" s="53" t="n">
        <v>46054</v>
      </c>
      <c r="B323" s="77" t="inlineStr">
        <is>
          <t>Naranja</t>
        </is>
      </c>
      <c r="C323" s="109" t="n">
        <v>10500</v>
      </c>
    </row>
    <row r="324">
      <c r="A324" s="105" t="n">
        <v>46055</v>
      </c>
      <c r="B324" s="106" t="inlineStr">
        <is>
          <t>Naranja</t>
        </is>
      </c>
      <c r="C324" s="107" t="n">
        <v>25000</v>
      </c>
    </row>
    <row r="325">
      <c r="A325" s="53" t="n">
        <v>46055</v>
      </c>
      <c r="B325" s="77" t="inlineStr">
        <is>
          <t>Naranja</t>
        </is>
      </c>
      <c r="C325" s="109" t="n">
        <v>18000</v>
      </c>
    </row>
    <row r="326">
      <c r="A326" s="105" t="n">
        <v>46056</v>
      </c>
      <c r="B326" s="106" t="inlineStr">
        <is>
          <t>Naranja</t>
        </is>
      </c>
      <c r="C326" s="107" t="n">
        <v>37000</v>
      </c>
    </row>
    <row r="327">
      <c r="A327" s="53" t="n">
        <v>46056</v>
      </c>
      <c r="B327" s="77" t="inlineStr">
        <is>
          <t>Naranja</t>
        </is>
      </c>
      <c r="C327" s="109" t="n">
        <v>22500</v>
      </c>
    </row>
    <row r="328">
      <c r="A328" s="105" t="n">
        <v>46056</v>
      </c>
      <c r="B328" s="106" t="inlineStr">
        <is>
          <t>Naranja</t>
        </is>
      </c>
      <c r="C328" s="107" t="n">
        <v>10000</v>
      </c>
    </row>
    <row r="329">
      <c r="A329" s="53" t="n">
        <v>46057</v>
      </c>
      <c r="B329" s="77" t="inlineStr">
        <is>
          <t>Naranja</t>
        </is>
      </c>
      <c r="C329" s="109" t="n">
        <v>60000</v>
      </c>
    </row>
    <row r="330">
      <c r="A330" s="105" t="n">
        <v>46057</v>
      </c>
      <c r="B330" s="106" t="inlineStr">
        <is>
          <t>Naranja</t>
        </is>
      </c>
      <c r="C330" s="107" t="n">
        <v>38000</v>
      </c>
    </row>
    <row r="331">
      <c r="A331" s="77" t="inlineStr">
        <is>
          <t>05/02/</t>
        </is>
      </c>
      <c r="B331" s="77" t="inlineStr">
        <is>
          <t>Naranja</t>
        </is>
      </c>
      <c r="C331" s="109" t="n">
        <v>52500</v>
      </c>
    </row>
    <row r="332">
      <c r="A332" s="105" t="n">
        <v>46058</v>
      </c>
      <c r="B332" s="106" t="inlineStr">
        <is>
          <t>Naranja</t>
        </is>
      </c>
      <c r="C332" s="107" t="n">
        <v>52500</v>
      </c>
    </row>
    <row r="333">
      <c r="A333" s="53" t="n">
        <v>46059</v>
      </c>
      <c r="B333" s="77" t="inlineStr">
        <is>
          <t>Naranja</t>
        </is>
      </c>
      <c r="C333" s="109" t="n">
        <v>60000</v>
      </c>
    </row>
    <row r="334">
      <c r="A334" s="105" t="n">
        <v>46059</v>
      </c>
      <c r="B334" s="106" t="inlineStr">
        <is>
          <t>Naranja</t>
        </is>
      </c>
      <c r="C334" s="107" t="n">
        <v>44000</v>
      </c>
    </row>
    <row r="335">
      <c r="A335" s="53" t="n">
        <v>46059</v>
      </c>
      <c r="B335" s="77" t="inlineStr">
        <is>
          <t>Naranja</t>
        </is>
      </c>
      <c r="C335" s="109" t="n">
        <v>15000</v>
      </c>
    </row>
    <row r="336">
      <c r="A336" s="105" t="n">
        <v>46060</v>
      </c>
      <c r="B336" s="106" t="inlineStr">
        <is>
          <t>Naranja</t>
        </is>
      </c>
      <c r="C336" s="107" t="n">
        <v>350000</v>
      </c>
    </row>
    <row r="337">
      <c r="A337" s="53" t="n">
        <v>46060</v>
      </c>
      <c r="B337" s="77" t="inlineStr">
        <is>
          <t>Naranja</t>
        </is>
      </c>
      <c r="C337" s="109" t="n">
        <v>66000</v>
      </c>
    </row>
    <row r="338">
      <c r="A338" s="105" t="n">
        <v>46060</v>
      </c>
      <c r="B338" s="106" t="inlineStr">
        <is>
          <t>Naranja</t>
        </is>
      </c>
      <c r="C338" s="107" t="n">
        <v>25000</v>
      </c>
    </row>
    <row r="339">
      <c r="A339" s="53" t="n">
        <v>46060</v>
      </c>
      <c r="B339" s="77" t="inlineStr">
        <is>
          <t>Mercado Pago</t>
        </is>
      </c>
      <c r="C339" s="109" t="n">
        <v>10500</v>
      </c>
    </row>
    <row r="340">
      <c r="A340" s="105" t="n">
        <v>46060</v>
      </c>
      <c r="B340" s="106" t="inlineStr">
        <is>
          <t>Mercado Pago</t>
        </is>
      </c>
      <c r="C340" s="107" t="n">
        <v>28000</v>
      </c>
    </row>
    <row r="341">
      <c r="A341" s="53" t="n">
        <v>46060</v>
      </c>
      <c r="B341" s="77" t="inlineStr">
        <is>
          <t>Mercado Pago</t>
        </is>
      </c>
      <c r="C341" s="109" t="n">
        <v>12500</v>
      </c>
    </row>
    <row r="342">
      <c r="A342" s="105" t="n">
        <v>46060</v>
      </c>
      <c r="B342" s="106" t="inlineStr">
        <is>
          <t>Mercado Pago</t>
        </is>
      </c>
      <c r="C342" s="107" t="n">
        <v>72000</v>
      </c>
    </row>
    <row r="343">
      <c r="A343" s="53" t="n">
        <v>46060</v>
      </c>
      <c r="B343" s="77" t="inlineStr">
        <is>
          <t>Mercado Pago</t>
        </is>
      </c>
      <c r="C343" s="109" t="n">
        <v>24000</v>
      </c>
    </row>
    <row r="344">
      <c r="A344" s="105" t="n">
        <v>46060</v>
      </c>
      <c r="B344" s="106" t="inlineStr">
        <is>
          <t>Mercado Pago</t>
        </is>
      </c>
      <c r="C344" s="107" t="n">
        <v>5600</v>
      </c>
    </row>
    <row r="345">
      <c r="A345" s="53" t="n">
        <v>46060</v>
      </c>
      <c r="B345" s="77" t="inlineStr">
        <is>
          <t>Mercado Pago</t>
        </is>
      </c>
      <c r="C345" s="109" t="n">
        <v>35000</v>
      </c>
    </row>
    <row r="346">
      <c r="A346" s="105" t="n">
        <v>46060</v>
      </c>
      <c r="B346" s="106" t="inlineStr">
        <is>
          <t>Mercado Pago</t>
        </is>
      </c>
      <c r="C346" s="107" t="n">
        <v>24000</v>
      </c>
    </row>
    <row r="347">
      <c r="A347" s="53" t="n">
        <v>46060</v>
      </c>
      <c r="B347" s="77" t="inlineStr">
        <is>
          <t>Mercado Pago</t>
        </is>
      </c>
      <c r="C347" s="109" t="n">
        <v>30000</v>
      </c>
    </row>
    <row r="348">
      <c r="A348" s="105" t="n">
        <v>46060</v>
      </c>
      <c r="B348" s="106" t="inlineStr">
        <is>
          <t>Mercado Pago</t>
        </is>
      </c>
      <c r="C348" s="107" t="n">
        <v>8500</v>
      </c>
    </row>
    <row r="349">
      <c r="A349" s="53" t="n">
        <v>46060</v>
      </c>
      <c r="B349" s="77" t="inlineStr">
        <is>
          <t>Mercado Pago</t>
        </is>
      </c>
      <c r="C349" s="109" t="n">
        <v>4500</v>
      </c>
    </row>
    <row r="350">
      <c r="A350" s="105" t="n">
        <v>46060</v>
      </c>
      <c r="B350" s="106" t="inlineStr">
        <is>
          <t>Mercado Pago</t>
        </is>
      </c>
      <c r="C350" s="107" t="n">
        <v>12000</v>
      </c>
    </row>
    <row r="351">
      <c r="A351" s="53" t="n">
        <v>46062</v>
      </c>
      <c r="B351" s="77" t="inlineStr">
        <is>
          <t>Mercado Pago</t>
        </is>
      </c>
      <c r="C351" s="109" t="n">
        <v>59000</v>
      </c>
    </row>
    <row r="352">
      <c r="A352" s="105" t="n">
        <v>46062</v>
      </c>
      <c r="B352" s="106" t="inlineStr">
        <is>
          <t>Mercado Pago</t>
        </is>
      </c>
      <c r="C352" s="107" t="n">
        <v>56700</v>
      </c>
    </row>
    <row r="353">
      <c r="A353" s="53" t="n">
        <v>46063</v>
      </c>
      <c r="B353" s="77" t="inlineStr">
        <is>
          <t>Mercado Pago</t>
        </is>
      </c>
      <c r="C353" s="109" t="n">
        <v>5500</v>
      </c>
    </row>
    <row r="354">
      <c r="A354" s="105" t="n">
        <v>46063</v>
      </c>
      <c r="B354" s="106" t="inlineStr">
        <is>
          <t>Mercado Pago</t>
        </is>
      </c>
      <c r="C354" s="107" t="n">
        <v>60000</v>
      </c>
    </row>
    <row r="355">
      <c r="A355" s="53" t="n">
        <v>46063</v>
      </c>
      <c r="B355" s="77" t="inlineStr">
        <is>
          <t>Mercado Pago</t>
        </is>
      </c>
      <c r="C355" s="109" t="n">
        <v>22000</v>
      </c>
    </row>
    <row r="356">
      <c r="A356" s="105" t="n">
        <v>46063</v>
      </c>
      <c r="B356" s="106" t="inlineStr">
        <is>
          <t>Mercado Pago</t>
        </is>
      </c>
      <c r="C356" s="107" t="n">
        <v>6000</v>
      </c>
    </row>
    <row r="357">
      <c r="A357" s="53" t="n">
        <v>46063</v>
      </c>
      <c r="B357" s="77" t="inlineStr">
        <is>
          <t>Mercado Pago</t>
        </is>
      </c>
      <c r="C357" s="109" t="n">
        <v>21000</v>
      </c>
    </row>
    <row r="358">
      <c r="A358" s="105" t="n">
        <v>46063</v>
      </c>
      <c r="B358" s="106" t="inlineStr">
        <is>
          <t>Mercado Pago</t>
        </is>
      </c>
      <c r="C358" s="107" t="n">
        <v>24500</v>
      </c>
    </row>
    <row r="359">
      <c r="A359" s="53" t="n">
        <v>46065</v>
      </c>
      <c r="B359" s="77" t="inlineStr">
        <is>
          <t>Mercado Pago</t>
        </is>
      </c>
      <c r="C359" s="109" t="n">
        <v>48000</v>
      </c>
    </row>
    <row r="360">
      <c r="A360" s="105" t="n">
        <v>46065</v>
      </c>
      <c r="B360" s="106" t="inlineStr">
        <is>
          <t>Mercado Pago</t>
        </is>
      </c>
      <c r="C360" s="107" t="n">
        <v>31000</v>
      </c>
    </row>
    <row r="361">
      <c r="A361" s="53" t="n">
        <v>46065</v>
      </c>
      <c r="B361" s="77" t="inlineStr">
        <is>
          <t>Mercado Pago</t>
        </is>
      </c>
      <c r="C361" s="109" t="n">
        <v>15000</v>
      </c>
    </row>
    <row r="362">
      <c r="A362" s="105" t="n">
        <v>46065</v>
      </c>
      <c r="B362" s="106" t="inlineStr">
        <is>
          <t>Mercado Pago</t>
        </is>
      </c>
      <c r="C362" s="107" t="n">
        <v>124500</v>
      </c>
    </row>
    <row r="363">
      <c r="A363" s="53" t="n">
        <v>46065</v>
      </c>
      <c r="B363" s="77" t="inlineStr">
        <is>
          <t>Mercado Pago</t>
        </is>
      </c>
      <c r="C363" s="109" t="n">
        <v>29300</v>
      </c>
    </row>
    <row r="364">
      <c r="A364" s="105" t="n">
        <v>46065</v>
      </c>
      <c r="B364" s="106" t="inlineStr">
        <is>
          <t>Mercado Pago</t>
        </is>
      </c>
      <c r="C364" s="107" t="n">
        <v>140200</v>
      </c>
    </row>
    <row r="365">
      <c r="A365" s="53" t="n">
        <v>46065</v>
      </c>
      <c r="B365" s="77" t="inlineStr">
        <is>
          <t>Mercado Pago</t>
        </is>
      </c>
      <c r="C365" s="109" t="n">
        <v>23000</v>
      </c>
    </row>
    <row r="366">
      <c r="A366" s="105" t="n">
        <v>46066</v>
      </c>
      <c r="B366" s="106" t="inlineStr">
        <is>
          <t>Mercado Pago</t>
        </is>
      </c>
      <c r="C366" s="107" t="n">
        <v>40500</v>
      </c>
    </row>
    <row r="367">
      <c r="A367" s="53" t="n">
        <v>46066</v>
      </c>
      <c r="B367" s="77" t="inlineStr">
        <is>
          <t>Mercado Pago</t>
        </is>
      </c>
      <c r="C367" s="109" t="n">
        <v>18500</v>
      </c>
    </row>
    <row r="368">
      <c r="A368" s="105" t="n">
        <v>46066</v>
      </c>
      <c r="B368" s="106" t="inlineStr">
        <is>
          <t>Mercado Pago</t>
        </is>
      </c>
      <c r="C368" s="107" t="n">
        <v>5500</v>
      </c>
    </row>
    <row r="369">
      <c r="A369" s="53" t="n">
        <v>46066</v>
      </c>
      <c r="B369" s="77" t="inlineStr">
        <is>
          <t>Mercado Pago</t>
        </is>
      </c>
      <c r="C369" s="109" t="n">
        <v>22500</v>
      </c>
    </row>
    <row r="370">
      <c r="A370" s="105" t="n">
        <v>46067</v>
      </c>
      <c r="B370" s="106" t="inlineStr">
        <is>
          <t>Mercado Pago</t>
        </is>
      </c>
      <c r="C370" s="107" t="n">
        <v>30500</v>
      </c>
    </row>
    <row r="371">
      <c r="A371" s="53" t="n">
        <v>46067</v>
      </c>
      <c r="B371" s="77" t="inlineStr">
        <is>
          <t>Personal Pay</t>
        </is>
      </c>
      <c r="C371" s="109" t="n">
        <v>24000</v>
      </c>
    </row>
    <row r="372">
      <c r="A372" s="105" t="n">
        <v>46067</v>
      </c>
      <c r="B372" s="106" t="inlineStr">
        <is>
          <t>Personal Pay</t>
        </is>
      </c>
      <c r="C372" s="107" t="n">
        <v>13850</v>
      </c>
    </row>
    <row r="373">
      <c r="A373" s="53" t="n">
        <v>46067</v>
      </c>
      <c r="B373" s="77" t="inlineStr">
        <is>
          <t>Personal Pay</t>
        </is>
      </c>
      <c r="C373" s="109" t="n">
        <v>9500</v>
      </c>
    </row>
    <row r="374">
      <c r="A374" s="105" t="n">
        <v>46067</v>
      </c>
      <c r="B374" s="106" t="inlineStr">
        <is>
          <t>Personal Pay</t>
        </is>
      </c>
      <c r="C374" s="107" t="n">
        <v>22000</v>
      </c>
    </row>
    <row r="375">
      <c r="A375" s="53" t="n">
        <v>46067</v>
      </c>
      <c r="B375" s="77" t="inlineStr">
        <is>
          <t>Personal Pay</t>
        </is>
      </c>
      <c r="C375" s="109" t="n">
        <v>19500</v>
      </c>
    </row>
    <row r="376">
      <c r="A376" s="105" t="n">
        <v>46067</v>
      </c>
      <c r="B376" s="106" t="inlineStr">
        <is>
          <t>Personal Pay</t>
        </is>
      </c>
      <c r="C376" s="107" t="n">
        <v>48500</v>
      </c>
    </row>
    <row r="377">
      <c r="A377" s="53" t="n">
        <v>46067</v>
      </c>
      <c r="B377" s="77" t="inlineStr">
        <is>
          <t>Personal Pay</t>
        </is>
      </c>
      <c r="C377" s="109" t="n">
        <v>64500</v>
      </c>
    </row>
    <row r="378">
      <c r="A378" s="105" t="n">
        <v>46067</v>
      </c>
      <c r="B378" s="106" t="inlineStr">
        <is>
          <t>Personal Pay</t>
        </is>
      </c>
      <c r="C378" s="107" t="n">
        <v>10100</v>
      </c>
    </row>
    <row r="379">
      <c r="A379" s="53" t="n">
        <v>46070</v>
      </c>
      <c r="B379" s="77" t="inlineStr">
        <is>
          <t>Personal Pay</t>
        </is>
      </c>
      <c r="C379" s="109" t="n">
        <v>12500</v>
      </c>
    </row>
    <row r="380">
      <c r="A380" s="105" t="n">
        <v>46070</v>
      </c>
      <c r="B380" s="106" t="inlineStr">
        <is>
          <t>Personal Pay</t>
        </is>
      </c>
      <c r="C380" s="107" t="n">
        <v>35600</v>
      </c>
    </row>
    <row r="381">
      <c r="A381" s="53" t="n">
        <v>46071</v>
      </c>
      <c r="B381" s="77" t="inlineStr">
        <is>
          <t>Personal Pay</t>
        </is>
      </c>
      <c r="C381" s="109" t="n">
        <v>58000</v>
      </c>
    </row>
    <row r="382">
      <c r="A382" s="105" t="n">
        <v>46071</v>
      </c>
      <c r="B382" s="106" t="inlineStr">
        <is>
          <t>Personal Pay</t>
        </is>
      </c>
      <c r="C382" s="107" t="n">
        <v>27450</v>
      </c>
    </row>
    <row r="383">
      <c r="A383" s="53" t="n">
        <v>46071</v>
      </c>
      <c r="B383" s="77" t="inlineStr">
        <is>
          <t>Personal Pay</t>
        </is>
      </c>
      <c r="C383" s="109" t="n">
        <v>7500</v>
      </c>
    </row>
    <row r="384">
      <c r="A384" s="105" t="n">
        <v>46071</v>
      </c>
      <c r="B384" s="106" t="inlineStr">
        <is>
          <t>Personal Pay</t>
        </is>
      </c>
      <c r="C384" s="107" t="n">
        <v>22000</v>
      </c>
    </row>
    <row r="385">
      <c r="A385" s="53" t="n">
        <v>46071</v>
      </c>
      <c r="B385" s="77" t="inlineStr">
        <is>
          <t>Personal Pay</t>
        </is>
      </c>
      <c r="C385" s="109" t="n">
        <v>27500</v>
      </c>
    </row>
    <row r="386">
      <c r="A386" s="105" t="n">
        <v>46072</v>
      </c>
      <c r="B386" s="106" t="inlineStr">
        <is>
          <t>Personal Pay</t>
        </is>
      </c>
      <c r="C386" s="107" t="n">
        <v>21500</v>
      </c>
    </row>
    <row r="387">
      <c r="A387" s="53" t="n">
        <v>46072</v>
      </c>
      <c r="B387" s="77" t="inlineStr">
        <is>
          <t>Personal Pay</t>
        </is>
      </c>
      <c r="C387" s="109" t="n">
        <v>90500</v>
      </c>
    </row>
    <row r="388">
      <c r="A388" s="105" t="n">
        <v>46072</v>
      </c>
      <c r="B388" s="106" t="inlineStr">
        <is>
          <t>Personal Pay</t>
        </is>
      </c>
      <c r="C388" s="107" t="n">
        <v>47000</v>
      </c>
    </row>
    <row r="389">
      <c r="A389" s="53" t="n">
        <v>46073</v>
      </c>
      <c r="B389" s="77" t="inlineStr">
        <is>
          <t>Mercado Pago</t>
        </is>
      </c>
      <c r="C389" s="109" t="n">
        <v>50000</v>
      </c>
    </row>
    <row r="390">
      <c r="A390" s="105" t="n">
        <v>46073</v>
      </c>
      <c r="B390" s="106" t="inlineStr">
        <is>
          <t>Personal Pay</t>
        </is>
      </c>
      <c r="C390" s="107" t="n">
        <v>50000</v>
      </c>
    </row>
    <row r="391">
      <c r="A391" s="53" t="n">
        <v>46074</v>
      </c>
      <c r="B391" s="77" t="inlineStr">
        <is>
          <t>Personal Pay</t>
        </is>
      </c>
      <c r="C391" s="109" t="n">
        <v>39500</v>
      </c>
    </row>
    <row r="392">
      <c r="A392" s="105" t="n">
        <v>46074</v>
      </c>
      <c r="B392" s="106" t="inlineStr">
        <is>
          <t>Personal Pay</t>
        </is>
      </c>
      <c r="C392" s="107" t="n">
        <v>42500</v>
      </c>
    </row>
    <row r="393">
      <c r="A393" s="53" t="n">
        <v>46075</v>
      </c>
      <c r="B393" s="77" t="inlineStr">
        <is>
          <t>Personal Pay</t>
        </is>
      </c>
      <c r="C393" s="109" t="n">
        <v>140000</v>
      </c>
    </row>
    <row r="394">
      <c r="A394" s="105" t="n">
        <v>46076</v>
      </c>
      <c r="B394" s="106" t="inlineStr">
        <is>
          <t>Personal Pay</t>
        </is>
      </c>
      <c r="C394" s="107" t="n">
        <v>16000</v>
      </c>
    </row>
    <row r="395">
      <c r="A395" s="53" t="n">
        <v>46076</v>
      </c>
      <c r="B395" s="77" t="inlineStr">
        <is>
          <t>Personal Pay</t>
        </is>
      </c>
      <c r="C395" s="109" t="n">
        <v>25000</v>
      </c>
    </row>
    <row r="396">
      <c r="A396" s="105" t="n">
        <v>46076</v>
      </c>
      <c r="B396" s="106" t="inlineStr">
        <is>
          <t>Personal Pay</t>
        </is>
      </c>
      <c r="C396" s="107" t="n">
        <v>124800</v>
      </c>
    </row>
    <row r="397">
      <c r="A397" s="53" t="n">
        <v>46076</v>
      </c>
      <c r="B397" s="77" t="inlineStr">
        <is>
          <t>Personal Pay</t>
        </is>
      </c>
      <c r="C397" s="109" t="n">
        <v>34000</v>
      </c>
    </row>
    <row r="398">
      <c r="A398" s="105" t="n">
        <v>46077</v>
      </c>
      <c r="B398" s="106" t="inlineStr">
        <is>
          <t>Personal Pay</t>
        </is>
      </c>
      <c r="C398" s="107" t="n">
        <v>46000</v>
      </c>
    </row>
    <row r="399">
      <c r="A399" s="53" t="n">
        <v>46077</v>
      </c>
      <c r="B399" s="77" t="inlineStr">
        <is>
          <t>Personal Pay</t>
        </is>
      </c>
      <c r="C399" s="109" t="n">
        <v>90800</v>
      </c>
    </row>
    <row r="400">
      <c r="A400" s="105" t="n">
        <v>46077</v>
      </c>
      <c r="B400" s="106" t="inlineStr">
        <is>
          <t>Personal Pay</t>
        </is>
      </c>
      <c r="C400" s="107" t="n">
        <v>42300</v>
      </c>
    </row>
    <row r="401">
      <c r="A401" s="53" t="n">
        <v>46077</v>
      </c>
      <c r="B401" s="77" t="inlineStr">
        <is>
          <t>Personal Pay</t>
        </is>
      </c>
      <c r="C401" s="109" t="n">
        <v>12000</v>
      </c>
    </row>
    <row r="402">
      <c r="A402" s="105" t="n">
        <v>46077</v>
      </c>
      <c r="B402" s="106" t="inlineStr">
        <is>
          <t>Personal Pay</t>
        </is>
      </c>
      <c r="C402" s="107" t="n">
        <v>23000</v>
      </c>
    </row>
    <row r="403">
      <c r="A403" s="53" t="n">
        <v>46079</v>
      </c>
      <c r="B403" s="77" t="inlineStr">
        <is>
          <t>Brubank  -  Facundo</t>
        </is>
      </c>
      <c r="C403" s="109" t="n">
        <v>240500</v>
      </c>
    </row>
    <row r="404">
      <c r="A404" s="105" t="n">
        <v>46078</v>
      </c>
      <c r="B404" s="106" t="inlineStr">
        <is>
          <t>Personal Pay</t>
        </is>
      </c>
      <c r="C404" s="107" t="n">
        <v>46400</v>
      </c>
    </row>
    <row r="405">
      <c r="A405" s="53" t="n">
        <v>46079</v>
      </c>
      <c r="B405" s="77" t="inlineStr">
        <is>
          <t>Brubank  -  Facundo</t>
        </is>
      </c>
      <c r="C405" s="109" t="n">
        <v>16500</v>
      </c>
    </row>
    <row r="406">
      <c r="A406" s="105" t="n">
        <v>46079</v>
      </c>
      <c r="B406" s="106" t="inlineStr">
        <is>
          <t>Brubank  -  Facundo</t>
        </is>
      </c>
      <c r="C406" s="107" t="n">
        <v>25000</v>
      </c>
    </row>
    <row r="407">
      <c r="A407" s="53" t="n">
        <v>46079</v>
      </c>
      <c r="B407" s="77" t="inlineStr">
        <is>
          <t>Brubank  -  Facundo</t>
        </is>
      </c>
      <c r="C407" s="109" t="n">
        <v>30000</v>
      </c>
    </row>
    <row r="408">
      <c r="A408" s="105" t="n">
        <v>46080</v>
      </c>
      <c r="B408" s="106" t="inlineStr">
        <is>
          <t>Brubank  -  Facundo</t>
        </is>
      </c>
      <c r="C408" s="107" t="n">
        <v>44600</v>
      </c>
    </row>
    <row r="409">
      <c r="A409" s="53" t="n">
        <v>46081</v>
      </c>
      <c r="B409" s="77" t="inlineStr">
        <is>
          <t>Brubank  -  Facundo</t>
        </is>
      </c>
      <c r="C409" s="109" t="n">
        <v>7200</v>
      </c>
    </row>
    <row r="410">
      <c r="A410" s="105" t="n">
        <v>46081</v>
      </c>
      <c r="B410" s="106" t="inlineStr">
        <is>
          <t>Brubank  -  Facundo</t>
        </is>
      </c>
      <c r="C410" s="107" t="n">
        <v>52200</v>
      </c>
    </row>
    <row r="411">
      <c r="A411" s="53" t="n">
        <v>46081</v>
      </c>
      <c r="B411" s="77" t="inlineStr">
        <is>
          <t>Brubank  -  Facundo</t>
        </is>
      </c>
      <c r="C411" s="109" t="n">
        <v>102985</v>
      </c>
    </row>
    <row r="412">
      <c r="A412" s="105" t="n">
        <v>46081</v>
      </c>
      <c r="B412" s="106" t="inlineStr">
        <is>
          <t>Brubank  -  Facundo</t>
        </is>
      </c>
      <c r="C412" s="107" t="n">
        <v>17500</v>
      </c>
    </row>
    <row r="413">
      <c r="A413" s="53" t="n">
        <v>46081</v>
      </c>
      <c r="B413" s="77" t="inlineStr">
        <is>
          <t>Brubank  -  Facundo</t>
        </is>
      </c>
      <c r="C413" s="109" t="n">
        <v>76000</v>
      </c>
    </row>
    <row r="414">
      <c r="A414" s="105" t="n">
        <v>46082</v>
      </c>
      <c r="B414" s="106" t="inlineStr">
        <is>
          <t>Brubank  -  Facundo</t>
        </is>
      </c>
      <c r="C414" s="107" t="n">
        <v>15000</v>
      </c>
    </row>
    <row r="415">
      <c r="A415" s="53" t="n">
        <v>46082</v>
      </c>
      <c r="B415" s="77" t="inlineStr">
        <is>
          <t>Brubank  -  Facundo</t>
        </is>
      </c>
      <c r="C415" s="109" t="n">
        <v>12500</v>
      </c>
    </row>
    <row r="416">
      <c r="A416" s="105" t="n">
        <v>46082</v>
      </c>
      <c r="B416" s="106" t="inlineStr">
        <is>
          <t>Brubank  -  Facundo</t>
        </is>
      </c>
      <c r="C416" s="107" t="n">
        <v>20000</v>
      </c>
    </row>
    <row r="417">
      <c r="A417" s="53" t="n">
        <v>46082</v>
      </c>
      <c r="B417" s="77" t="inlineStr">
        <is>
          <t>Brubank  -  Facundo</t>
        </is>
      </c>
      <c r="C417" s="109" t="n">
        <v>12200</v>
      </c>
    </row>
    <row r="418">
      <c r="A418" s="105" t="n">
        <v>46082</v>
      </c>
      <c r="B418" s="106" t="inlineStr">
        <is>
          <t>Brubank  -  Facundo</t>
        </is>
      </c>
      <c r="C418" s="107" t="n">
        <v>49000</v>
      </c>
    </row>
    <row r="419">
      <c r="A419" s="53" t="n">
        <v>46082</v>
      </c>
      <c r="B419" s="77" t="inlineStr">
        <is>
          <t>Brubank  -  Facundo</t>
        </is>
      </c>
      <c r="C419" s="109" t="n">
        <v>22000</v>
      </c>
    </row>
    <row r="420">
      <c r="A420" s="105" t="n">
        <v>46082</v>
      </c>
      <c r="B420" s="106" t="inlineStr">
        <is>
          <t>Brubank  -  Facundo</t>
        </is>
      </c>
      <c r="C420" s="107" t="n">
        <v>36000</v>
      </c>
    </row>
    <row r="421">
      <c r="A421" s="53" t="n">
        <v>46082</v>
      </c>
      <c r="B421" s="77" t="inlineStr">
        <is>
          <t>Brubank  -  Facundo</t>
        </is>
      </c>
      <c r="C421" s="109" t="n">
        <v>15000</v>
      </c>
    </row>
    <row r="422">
      <c r="A422" s="105" t="n">
        <v>46083</v>
      </c>
      <c r="B422" s="106" t="inlineStr">
        <is>
          <t>Brubank  -  Facundo</t>
        </is>
      </c>
      <c r="C422" s="107" t="n">
        <v>37500</v>
      </c>
    </row>
    <row r="423">
      <c r="A423" s="53" t="n">
        <v>46083</v>
      </c>
      <c r="B423" s="77" t="inlineStr">
        <is>
          <t>Brubank  -  Facundo</t>
        </is>
      </c>
      <c r="C423" s="109" t="n">
        <v>21000</v>
      </c>
    </row>
    <row r="424">
      <c r="A424" s="105" t="n">
        <v>46083</v>
      </c>
      <c r="B424" s="106" t="inlineStr">
        <is>
          <t>Brubank  -  Facundo</t>
        </is>
      </c>
      <c r="C424" s="107" t="n">
        <v>17300</v>
      </c>
    </row>
    <row r="425">
      <c r="A425" s="53" t="n">
        <v>46083</v>
      </c>
      <c r="B425" s="77" t="inlineStr">
        <is>
          <t>Brubank  -  Facundo</t>
        </is>
      </c>
      <c r="C425" s="109" t="n">
        <v>50000</v>
      </c>
    </row>
    <row r="426">
      <c r="A426" s="105" t="n">
        <v>46055</v>
      </c>
      <c r="B426" s="106" t="inlineStr">
        <is>
          <t>Brubank  -  Facundo</t>
        </is>
      </c>
      <c r="C426" s="107" t="n">
        <v>6300</v>
      </c>
    </row>
    <row r="427">
      <c r="A427" s="53" t="n">
        <v>46083</v>
      </c>
      <c r="B427" s="77" t="inlineStr">
        <is>
          <t>Brubank  -  Facundo</t>
        </is>
      </c>
      <c r="C427" s="109" t="n">
        <v>58000</v>
      </c>
    </row>
    <row r="428">
      <c r="A428" s="105" t="n">
        <v>46084</v>
      </c>
      <c r="B428" s="106" t="inlineStr">
        <is>
          <t>Brubank  -  Facundo</t>
        </is>
      </c>
      <c r="C428" s="107" t="n">
        <v>55000</v>
      </c>
    </row>
    <row r="429">
      <c r="A429" s="53" t="n">
        <v>46084</v>
      </c>
      <c r="B429" s="77" t="inlineStr">
        <is>
          <t>Brubank  -  Facundo</t>
        </is>
      </c>
      <c r="C429" s="109" t="n">
        <v>66500</v>
      </c>
    </row>
    <row r="430">
      <c r="A430" s="105" t="n">
        <v>46084</v>
      </c>
      <c r="B430" s="106" t="inlineStr">
        <is>
          <t>Brubank  -  Facundo</t>
        </is>
      </c>
      <c r="C430" s="107" t="n">
        <v>60530</v>
      </c>
    </row>
    <row r="431">
      <c r="A431" s="53" t="n">
        <v>46084</v>
      </c>
      <c r="B431" s="77" t="inlineStr">
        <is>
          <t>Brubank  -  Facundo</t>
        </is>
      </c>
      <c r="C431" s="109" t="n">
        <v>98000</v>
      </c>
    </row>
    <row r="432">
      <c r="A432" s="105" t="n">
        <v>46084</v>
      </c>
      <c r="B432" s="106" t="inlineStr">
        <is>
          <t>Brubank  -  Facundo</t>
        </is>
      </c>
      <c r="C432" s="107" t="n">
        <v>38500</v>
      </c>
    </row>
    <row r="433">
      <c r="A433" s="53" t="n">
        <v>46084</v>
      </c>
      <c r="B433" s="77" t="inlineStr">
        <is>
          <t>Brubank  -  Facundo</t>
        </is>
      </c>
      <c r="C433" s="109" t="n">
        <v>46000</v>
      </c>
    </row>
    <row r="434">
      <c r="A434" s="105" t="n">
        <v>46084</v>
      </c>
      <c r="B434" s="106" t="inlineStr">
        <is>
          <t>Brubank  -  Facundo</t>
        </is>
      </c>
      <c r="C434" s="107" t="n">
        <v>65000</v>
      </c>
    </row>
    <row r="435">
      <c r="A435" s="53" t="n">
        <v>46084</v>
      </c>
      <c r="B435" s="77" t="inlineStr">
        <is>
          <t>Brubank  -  Facundo</t>
        </is>
      </c>
      <c r="C435" s="109" t="n">
        <v>24600</v>
      </c>
    </row>
    <row r="436">
      <c r="A436" s="105" t="n">
        <v>46085</v>
      </c>
      <c r="B436" s="106" t="inlineStr">
        <is>
          <t>Brubank  -  Facundo</t>
        </is>
      </c>
      <c r="C436" s="107" t="n">
        <v>23000</v>
      </c>
    </row>
    <row r="437">
      <c r="A437" s="53" t="n">
        <v>46085</v>
      </c>
      <c r="B437" s="77" t="inlineStr">
        <is>
          <t>Brubank  -  Facundo</t>
        </is>
      </c>
      <c r="C437" s="109" t="n">
        <v>45500</v>
      </c>
    </row>
    <row r="438">
      <c r="A438" s="105" t="n">
        <v>46085</v>
      </c>
      <c r="B438" s="106" t="inlineStr">
        <is>
          <t>Brubank  -  Facundo</t>
        </is>
      </c>
      <c r="C438" s="107" t="n">
        <v>2500</v>
      </c>
    </row>
    <row r="439">
      <c r="A439" s="53" t="n">
        <v>46085</v>
      </c>
      <c r="B439" s="77" t="inlineStr">
        <is>
          <t>Brubank  -  Facundo</t>
        </is>
      </c>
      <c r="C439" s="109" t="n">
        <v>7000</v>
      </c>
    </row>
    <row r="440">
      <c r="A440" s="105" t="n">
        <v>46085</v>
      </c>
      <c r="B440" s="106" t="inlineStr">
        <is>
          <t>Brubank  -  Facundo</t>
        </is>
      </c>
      <c r="C440" s="107" t="n">
        <v>42100</v>
      </c>
    </row>
    <row r="441">
      <c r="A441" s="53" t="n">
        <v>46086</v>
      </c>
      <c r="B441" s="77" t="inlineStr">
        <is>
          <t>Brubank  -  Facundo</t>
        </is>
      </c>
      <c r="C441" s="109" t="n">
        <v>19000</v>
      </c>
    </row>
    <row r="442">
      <c r="A442" s="105" t="n">
        <v>46086</v>
      </c>
      <c r="B442" s="106" t="inlineStr">
        <is>
          <t>Brubank  -  Facundo</t>
        </is>
      </c>
      <c r="C442" s="107" t="n">
        <v>16000</v>
      </c>
    </row>
    <row r="443">
      <c r="A443" s="53" t="n">
        <v>46086</v>
      </c>
      <c r="B443" s="77" t="inlineStr">
        <is>
          <t>Brubank  -  Facundo</t>
        </is>
      </c>
      <c r="C443" s="109" t="n">
        <v>33000</v>
      </c>
    </row>
    <row r="444">
      <c r="A444" s="105" t="n">
        <v>46086</v>
      </c>
      <c r="B444" s="106" t="inlineStr">
        <is>
          <t>Brubank  -  Facundo</t>
        </is>
      </c>
      <c r="C444" s="107" t="n">
        <v>47000</v>
      </c>
    </row>
    <row r="445">
      <c r="A445" s="53" t="n">
        <v>46086</v>
      </c>
      <c r="B445" s="77" t="inlineStr">
        <is>
          <t>Brubank  -  Facundo</t>
        </is>
      </c>
      <c r="C445" s="109" t="n">
        <v>33000</v>
      </c>
    </row>
    <row r="446">
      <c r="A446" s="105" t="n">
        <v>46087</v>
      </c>
      <c r="B446" s="106" t="inlineStr">
        <is>
          <t>Mercado Pago</t>
        </is>
      </c>
      <c r="C446" s="107" t="n">
        <v>37500</v>
      </c>
    </row>
    <row r="447">
      <c r="A447" s="53" t="n">
        <v>46088</v>
      </c>
      <c r="B447" s="77" t="inlineStr">
        <is>
          <t>Mercado Pago</t>
        </is>
      </c>
      <c r="C447" s="109" t="n">
        <v>18500</v>
      </c>
    </row>
    <row r="448">
      <c r="A448" s="105" t="n">
        <v>46088</v>
      </c>
      <c r="B448" s="106" t="inlineStr">
        <is>
          <t>Mercado Pago</t>
        </is>
      </c>
      <c r="C448" s="107" t="n">
        <v>19500</v>
      </c>
    </row>
    <row r="449">
      <c r="A449" s="53" t="n">
        <v>46088</v>
      </c>
      <c r="B449" s="77" t="inlineStr">
        <is>
          <t>Mercado Pago</t>
        </is>
      </c>
      <c r="C449" s="109" t="n">
        <v>81000</v>
      </c>
    </row>
    <row r="450">
      <c r="A450" s="105" t="n">
        <v>46088</v>
      </c>
      <c r="B450" s="106" t="inlineStr">
        <is>
          <t>Mercado Pago</t>
        </is>
      </c>
      <c r="C450" s="107" t="n">
        <v>64000</v>
      </c>
    </row>
    <row r="451">
      <c r="A451" s="53" t="n">
        <v>46089</v>
      </c>
      <c r="B451" s="77" t="inlineStr">
        <is>
          <t>Mercado Pago</t>
        </is>
      </c>
      <c r="C451" s="109" t="n">
        <v>9000</v>
      </c>
    </row>
    <row r="452">
      <c r="A452" s="105" t="n">
        <v>46089</v>
      </c>
      <c r="B452" s="106" t="inlineStr">
        <is>
          <t>Mercado Pago</t>
        </is>
      </c>
      <c r="C452" s="107" t="n">
        <v>14300</v>
      </c>
    </row>
    <row r="453">
      <c r="A453" s="53" t="n">
        <v>46089</v>
      </c>
      <c r="B453" s="77" t="inlineStr">
        <is>
          <t>Mercado Pago</t>
        </is>
      </c>
      <c r="C453" s="109" t="n">
        <v>28600</v>
      </c>
    </row>
    <row r="454">
      <c r="A454" s="105" t="n">
        <v>46089</v>
      </c>
      <c r="B454" s="106" t="inlineStr">
        <is>
          <t>Mercado Pago</t>
        </is>
      </c>
      <c r="C454" s="107" t="n">
        <v>9500</v>
      </c>
    </row>
    <row r="455">
      <c r="A455" s="53" t="n">
        <v>46089</v>
      </c>
      <c r="B455" s="77" t="inlineStr">
        <is>
          <t>Mercado Pago</t>
        </is>
      </c>
      <c r="C455" s="109" t="n">
        <v>125000</v>
      </c>
    </row>
    <row r="456">
      <c r="A456" s="105" t="n">
        <v>46091</v>
      </c>
      <c r="B456" s="106" t="inlineStr">
        <is>
          <t>Mercado Pago</t>
        </is>
      </c>
      <c r="C456" s="107" t="n">
        <v>38500</v>
      </c>
    </row>
    <row r="457">
      <c r="A457" s="53" t="n">
        <v>46091</v>
      </c>
      <c r="B457" s="77" t="inlineStr">
        <is>
          <t>Mercado Pago</t>
        </is>
      </c>
      <c r="C457" s="109" t="n">
        <v>38000</v>
      </c>
    </row>
    <row r="458">
      <c r="A458" s="105" t="n">
        <v>46091</v>
      </c>
      <c r="B458" s="106" t="inlineStr">
        <is>
          <t>Mercado Pago</t>
        </is>
      </c>
      <c r="C458" s="107" t="n">
        <v>51500</v>
      </c>
    </row>
    <row r="459">
      <c r="A459" s="53" t="n">
        <v>46091</v>
      </c>
      <c r="B459" s="77" t="inlineStr">
        <is>
          <t>Mercado Pago</t>
        </is>
      </c>
      <c r="C459" s="109" t="n">
        <v>18000</v>
      </c>
    </row>
    <row r="460">
      <c r="A460" s="105" t="n">
        <v>46091</v>
      </c>
      <c r="B460" s="106" t="inlineStr">
        <is>
          <t>Mercado Pago</t>
        </is>
      </c>
      <c r="C460" s="107" t="n">
        <v>58500</v>
      </c>
    </row>
    <row r="461">
      <c r="A461" s="53" t="n">
        <v>46092</v>
      </c>
      <c r="B461" s="77" t="inlineStr">
        <is>
          <t>Mercado Pago</t>
        </is>
      </c>
      <c r="C461" s="109" t="n">
        <v>50500</v>
      </c>
    </row>
    <row r="462">
      <c r="A462" s="105" t="n">
        <v>46092</v>
      </c>
      <c r="B462" s="106" t="inlineStr">
        <is>
          <t>Mercado Pago</t>
        </is>
      </c>
      <c r="C462" s="107" t="n">
        <v>29000</v>
      </c>
    </row>
    <row r="463">
      <c r="A463" s="53" t="n">
        <v>46092</v>
      </c>
      <c r="B463" s="77" t="inlineStr">
        <is>
          <t>Mercado Pago</t>
        </is>
      </c>
      <c r="C463" s="109" t="n">
        <v>65800</v>
      </c>
    </row>
    <row r="464">
      <c r="A464" s="105" t="n">
        <v>46093</v>
      </c>
      <c r="B464" s="106" t="inlineStr">
        <is>
          <t>Mercado Pago</t>
        </is>
      </c>
      <c r="C464" s="107" t="n">
        <v>85000</v>
      </c>
    </row>
    <row r="465">
      <c r="A465" s="53" t="n">
        <v>46093</v>
      </c>
      <c r="B465" s="77" t="inlineStr">
        <is>
          <t>Mercado Pago</t>
        </is>
      </c>
      <c r="C465" s="109" t="n">
        <v>1500</v>
      </c>
    </row>
    <row r="466">
      <c r="A466" s="105" t="n">
        <v>46093</v>
      </c>
      <c r="B466" s="106" t="inlineStr">
        <is>
          <t>Mercado Pago</t>
        </is>
      </c>
      <c r="C466" s="107" t="n">
        <v>16500</v>
      </c>
    </row>
    <row r="467">
      <c r="A467" s="53" t="n">
        <v>46094</v>
      </c>
      <c r="B467" s="77" t="inlineStr">
        <is>
          <t>Mercado Pago</t>
        </is>
      </c>
      <c r="C467" s="109" t="n">
        <v>14000</v>
      </c>
    </row>
    <row r="468">
      <c r="A468" s="105" t="n">
        <v>46094</v>
      </c>
      <c r="B468" s="106" t="inlineStr">
        <is>
          <t>Mercado Pago</t>
        </is>
      </c>
      <c r="C468" s="107" t="n">
        <v>13500</v>
      </c>
    </row>
    <row r="469">
      <c r="A469" s="53" t="n">
        <v>46095</v>
      </c>
      <c r="B469" s="77" t="inlineStr">
        <is>
          <t>Personal Pay</t>
        </is>
      </c>
      <c r="C469" s="109" t="n">
        <v>98000</v>
      </c>
    </row>
    <row r="470">
      <c r="A470" s="105" t="n">
        <v>46095</v>
      </c>
      <c r="B470" s="106" t="inlineStr">
        <is>
          <t>Personal Pay</t>
        </is>
      </c>
      <c r="C470" s="107" t="n">
        <v>45200</v>
      </c>
    </row>
    <row r="471">
      <c r="A471" s="53" t="n">
        <v>46095</v>
      </c>
      <c r="B471" s="77" t="inlineStr">
        <is>
          <t>Personal Pay</t>
        </is>
      </c>
      <c r="C471" s="109" t="n">
        <v>6500</v>
      </c>
    </row>
    <row r="472">
      <c r="A472" s="105" t="n">
        <v>46095</v>
      </c>
      <c r="B472" s="106" t="inlineStr">
        <is>
          <t>Personal Pay</t>
        </is>
      </c>
      <c r="C472" s="107" t="n">
        <v>40000</v>
      </c>
    </row>
    <row r="473">
      <c r="A473" s="53" t="n">
        <v>46098</v>
      </c>
      <c r="B473" s="77" t="inlineStr">
        <is>
          <t>Personal Pay</t>
        </is>
      </c>
      <c r="C473" s="109" t="n">
        <v>34450</v>
      </c>
    </row>
    <row r="474">
      <c r="A474" s="105" t="n">
        <v>46098</v>
      </c>
      <c r="B474" s="106" t="inlineStr">
        <is>
          <t>Personal Pay</t>
        </is>
      </c>
      <c r="C474" s="107" t="n">
        <v>34450</v>
      </c>
    </row>
    <row r="475">
      <c r="A475" s="53" t="n">
        <v>46098</v>
      </c>
      <c r="B475" s="77" t="inlineStr">
        <is>
          <t>Personal Pay</t>
        </is>
      </c>
      <c r="C475" s="109" t="n">
        <v>21000</v>
      </c>
    </row>
    <row r="476">
      <c r="A476" s="105" t="n">
        <v>46098</v>
      </c>
      <c r="B476" s="106" t="inlineStr">
        <is>
          <t>Personal Pay</t>
        </is>
      </c>
      <c r="C476" s="107" t="n">
        <v>60000</v>
      </c>
    </row>
    <row r="477">
      <c r="A477" s="53" t="n">
        <v>46098</v>
      </c>
      <c r="B477" s="77" t="inlineStr">
        <is>
          <t>Personal Pay</t>
        </is>
      </c>
      <c r="C477" s="109" t="n">
        <v>86500</v>
      </c>
    </row>
    <row r="478">
      <c r="A478" s="105" t="n">
        <v>46098</v>
      </c>
      <c r="B478" s="106" t="inlineStr">
        <is>
          <t>Personal Pay</t>
        </is>
      </c>
      <c r="C478" s="107" t="n">
        <v>9000</v>
      </c>
    </row>
    <row r="479">
      <c r="A479" s="53" t="n">
        <v>46098</v>
      </c>
      <c r="B479" s="77" t="inlineStr">
        <is>
          <t>Personal Pay</t>
        </is>
      </c>
      <c r="C479" s="109" t="n">
        <v>21000</v>
      </c>
    </row>
    <row r="480">
      <c r="A480" s="105" t="n">
        <v>46098</v>
      </c>
      <c r="B480" s="106" t="inlineStr">
        <is>
          <t>Personal Pay</t>
        </is>
      </c>
      <c r="C480" s="107" t="n">
        <v>44400</v>
      </c>
    </row>
    <row r="481">
      <c r="A481" s="53" t="n">
        <v>46098</v>
      </c>
      <c r="B481" s="77" t="inlineStr">
        <is>
          <t>Personal Pay</t>
        </is>
      </c>
      <c r="C481" s="109" t="n">
        <v>16500</v>
      </c>
    </row>
    <row r="482">
      <c r="A482" s="105" t="n">
        <v>46101</v>
      </c>
      <c r="B482" s="106" t="inlineStr">
        <is>
          <t>Personal Pay</t>
        </is>
      </c>
      <c r="C482" s="107" t="n">
        <v>45000</v>
      </c>
    </row>
    <row r="483">
      <c r="A483" s="53" t="n">
        <v>46101</v>
      </c>
      <c r="B483" s="77" t="inlineStr">
        <is>
          <t>Personal Pay</t>
        </is>
      </c>
      <c r="C483" s="109" t="n">
        <v>10000</v>
      </c>
    </row>
    <row r="484">
      <c r="A484" s="105" t="n">
        <v>46101</v>
      </c>
      <c r="B484" s="106" t="inlineStr">
        <is>
          <t>Personal Pay</t>
        </is>
      </c>
      <c r="C484" s="107" t="n">
        <v>6000</v>
      </c>
    </row>
    <row r="485">
      <c r="A485" s="53" t="n">
        <v>46101</v>
      </c>
      <c r="B485" s="77" t="inlineStr">
        <is>
          <t>Personal Pay</t>
        </is>
      </c>
      <c r="C485" s="109" t="n">
        <v>57500</v>
      </c>
    </row>
    <row r="486">
      <c r="A486" s="105" t="n">
        <v>46101</v>
      </c>
      <c r="B486" s="106" t="inlineStr">
        <is>
          <t>Personal Pay</t>
        </is>
      </c>
      <c r="C486" s="107" t="n">
        <v>47000</v>
      </c>
    </row>
    <row r="487">
      <c r="A487" s="53" t="n">
        <v>46101</v>
      </c>
      <c r="B487" s="77" t="inlineStr">
        <is>
          <t>Personal Pay</t>
        </is>
      </c>
      <c r="C487" s="109" t="n">
        <v>60000</v>
      </c>
    </row>
    <row r="488">
      <c r="A488" s="105" t="n">
        <v>46101</v>
      </c>
      <c r="B488" s="106" t="inlineStr">
        <is>
          <t>Personal Pay</t>
        </is>
      </c>
      <c r="C488" s="107" t="n">
        <v>33500</v>
      </c>
    </row>
    <row r="489">
      <c r="A489" s="53" t="n">
        <v>46102</v>
      </c>
      <c r="B489" s="77" t="inlineStr">
        <is>
          <t>Personal Pay</t>
        </is>
      </c>
      <c r="C489" s="109" t="n">
        <v>25000</v>
      </c>
    </row>
    <row r="490">
      <c r="A490" s="105" t="n">
        <v>46102</v>
      </c>
      <c r="B490" s="106" t="inlineStr">
        <is>
          <t>Personal Pay</t>
        </is>
      </c>
      <c r="C490" s="107" t="n">
        <v>8500</v>
      </c>
    </row>
    <row r="491">
      <c r="A491" s="53" t="n">
        <v>46102</v>
      </c>
      <c r="B491" s="77" t="inlineStr">
        <is>
          <t>Personal Pay</t>
        </is>
      </c>
      <c r="C491" s="109" t="n">
        <v>39500</v>
      </c>
    </row>
    <row r="492">
      <c r="A492" s="105" t="n">
        <v>46102</v>
      </c>
      <c r="B492" s="106" t="inlineStr">
        <is>
          <t>Personal Pay</t>
        </is>
      </c>
      <c r="C492" s="107" t="n">
        <v>35300</v>
      </c>
    </row>
    <row r="493">
      <c r="A493" s="53" t="n">
        <v>46102</v>
      </c>
      <c r="B493" s="77" t="inlineStr">
        <is>
          <t>Personal Pay</t>
        </is>
      </c>
      <c r="C493" s="109" t="n">
        <v>13000</v>
      </c>
    </row>
    <row r="494">
      <c r="A494" s="105" t="n">
        <v>46102</v>
      </c>
      <c r="B494" s="106" t="inlineStr">
        <is>
          <t>Personal Pay</t>
        </is>
      </c>
      <c r="C494" s="107" t="n">
        <v>20000</v>
      </c>
    </row>
    <row r="495">
      <c r="A495" s="53" t="n">
        <v>46102</v>
      </c>
      <c r="B495" s="77" t="inlineStr">
        <is>
          <t>Naranja</t>
        </is>
      </c>
      <c r="C495" s="109" t="n">
        <v>100500</v>
      </c>
    </row>
    <row r="496">
      <c r="A496" s="105" t="n">
        <v>46102</v>
      </c>
      <c r="B496" s="106" t="inlineStr">
        <is>
          <t>Naranja</t>
        </is>
      </c>
      <c r="C496" s="107" t="n">
        <v>56000</v>
      </c>
    </row>
    <row r="497">
      <c r="A497" s="53" t="n">
        <v>46102</v>
      </c>
      <c r="B497" s="77" t="inlineStr">
        <is>
          <t>Naranja</t>
        </is>
      </c>
      <c r="C497" s="109" t="n">
        <v>25000</v>
      </c>
    </row>
    <row r="498">
      <c r="A498" s="105" t="n">
        <v>46103</v>
      </c>
      <c r="B498" s="106" t="inlineStr">
        <is>
          <t>Naranja</t>
        </is>
      </c>
      <c r="C498" s="107" t="n">
        <v>62000</v>
      </c>
    </row>
    <row r="499">
      <c r="A499" s="53" t="n">
        <v>46103</v>
      </c>
      <c r="B499" s="77" t="inlineStr">
        <is>
          <t>Naranja</t>
        </is>
      </c>
      <c r="C499" s="109" t="n">
        <v>15000</v>
      </c>
    </row>
    <row r="500">
      <c r="A500" s="105" t="n">
        <v>46103</v>
      </c>
      <c r="B500" s="106" t="inlineStr">
        <is>
          <t>Naranja</t>
        </is>
      </c>
      <c r="C500" s="107" t="n">
        <v>36000</v>
      </c>
    </row>
    <row r="501">
      <c r="A501" s="53" t="n">
        <v>46103</v>
      </c>
      <c r="B501" s="77" t="inlineStr">
        <is>
          <t>Naranja</t>
        </is>
      </c>
      <c r="C501" s="109" t="n">
        <v>12000</v>
      </c>
    </row>
    <row r="502">
      <c r="A502" s="105" t="n">
        <v>46103</v>
      </c>
      <c r="B502" s="106" t="inlineStr">
        <is>
          <t>Naranja</t>
        </is>
      </c>
      <c r="C502" s="107" t="n">
        <v>31000</v>
      </c>
    </row>
    <row r="503">
      <c r="A503" s="53" t="n">
        <v>46106</v>
      </c>
      <c r="B503" s="77" t="inlineStr">
        <is>
          <t>Naranja</t>
        </is>
      </c>
      <c r="C503" s="109" t="n">
        <v>52000</v>
      </c>
    </row>
    <row r="504">
      <c r="A504" s="105" t="n">
        <v>46106</v>
      </c>
      <c r="B504" s="106" t="inlineStr">
        <is>
          <t>Naranja</t>
        </is>
      </c>
      <c r="C504" s="107" t="n">
        <v>68000</v>
      </c>
    </row>
    <row r="505">
      <c r="A505" s="53" t="n">
        <v>46107</v>
      </c>
      <c r="B505" s="77" t="inlineStr">
        <is>
          <t>Naranja</t>
        </is>
      </c>
      <c r="C505" s="109" t="n">
        <v>25000</v>
      </c>
    </row>
    <row r="506">
      <c r="A506" s="105" t="n">
        <v>46109</v>
      </c>
      <c r="B506" s="106" t="inlineStr">
        <is>
          <t>Personal Pay  - Facundo</t>
        </is>
      </c>
      <c r="C506" s="107" t="n">
        <v>41000</v>
      </c>
    </row>
    <row r="507">
      <c r="A507" s="53" t="n">
        <v>46111</v>
      </c>
      <c r="B507" s="77" t="inlineStr">
        <is>
          <t>Personal Pay  - Facundo</t>
        </is>
      </c>
      <c r="C507" s="109" t="n">
        <v>61000</v>
      </c>
    </row>
    <row r="508">
      <c r="A508" s="105" t="n">
        <v>46111</v>
      </c>
      <c r="B508" s="106" t="inlineStr">
        <is>
          <t>Personal Pay  - Facundo</t>
        </is>
      </c>
      <c r="C508" s="107" t="n">
        <v>22000</v>
      </c>
    </row>
    <row r="509">
      <c r="A509" s="53" t="n">
        <v>46111</v>
      </c>
      <c r="B509" s="77" t="inlineStr">
        <is>
          <t>Personal Pay  - Facundo</t>
        </is>
      </c>
      <c r="C509" s="109" t="n">
        <v>33000</v>
      </c>
    </row>
    <row r="510">
      <c r="A510" s="105" t="n">
        <v>46111</v>
      </c>
      <c r="B510" s="106" t="inlineStr">
        <is>
          <t>Personal Pay  - Facundo</t>
        </is>
      </c>
      <c r="C510" s="107" t="n">
        <v>61000</v>
      </c>
    </row>
    <row r="511">
      <c r="A511" s="53" t="n">
        <v>46112</v>
      </c>
      <c r="B511" s="77" t="inlineStr">
        <is>
          <t>Personal Pay  - Facundo</t>
        </is>
      </c>
      <c r="C511" s="109" t="n">
        <v>11000</v>
      </c>
    </row>
    <row r="512">
      <c r="A512" s="105" t="n">
        <v>46112</v>
      </c>
      <c r="B512" s="106" t="inlineStr">
        <is>
          <t>Personal Pay  - Facundo</t>
        </is>
      </c>
      <c r="C512" s="107" t="n">
        <v>28000</v>
      </c>
    </row>
    <row r="513">
      <c r="A513" s="53" t="n">
        <v>46112</v>
      </c>
      <c r="B513" s="77" t="inlineStr">
        <is>
          <t>Personal Pay  - Facundo</t>
        </is>
      </c>
      <c r="C513" s="109" t="n">
        <v>19500</v>
      </c>
    </row>
    <row r="514">
      <c r="A514" s="105" t="n">
        <v>46112</v>
      </c>
      <c r="B514" s="106" t="inlineStr">
        <is>
          <t>Personal Pay  - Facundo</t>
        </is>
      </c>
      <c r="C514" s="107" t="n">
        <v>19500</v>
      </c>
    </row>
    <row r="515">
      <c r="A515" s="53" t="n">
        <v>46112</v>
      </c>
      <c r="B515" s="77" t="inlineStr">
        <is>
          <t>Personal Pay  - Facundo</t>
        </is>
      </c>
      <c r="C515" s="109" t="n">
        <v>90000</v>
      </c>
    </row>
    <row r="516">
      <c r="A516" s="105" t="n">
        <v>46113</v>
      </c>
      <c r="B516" s="106" t="inlineStr">
        <is>
          <t>Mercado Pago</t>
        </is>
      </c>
      <c r="C516" s="107" t="n">
        <v>68000</v>
      </c>
    </row>
    <row r="517">
      <c r="A517" s="53" t="n">
        <v>46113</v>
      </c>
      <c r="B517" s="77" t="inlineStr">
        <is>
          <t>Personal Pay  - Facundo</t>
        </is>
      </c>
      <c r="C517" s="109" t="n">
        <v>5500</v>
      </c>
    </row>
    <row r="518">
      <c r="A518" s="105" t="n">
        <v>46113</v>
      </c>
      <c r="B518" s="106" t="inlineStr">
        <is>
          <t>Personal Pay  - Facundo</t>
        </is>
      </c>
      <c r="C518" s="107" t="n">
        <v>28500</v>
      </c>
    </row>
    <row r="519">
      <c r="A519" s="53" t="n">
        <v>46113</v>
      </c>
      <c r="B519" s="77" t="inlineStr">
        <is>
          <t>Personal Pay  - Facundo</t>
        </is>
      </c>
      <c r="C519" s="109" t="n">
        <v>52500</v>
      </c>
    </row>
    <row r="520">
      <c r="A520" s="105" t="n">
        <v>46114</v>
      </c>
      <c r="B520" s="106" t="inlineStr">
        <is>
          <t>Personal Pay  - Facundo</t>
        </is>
      </c>
      <c r="C520" s="107" t="n">
        <v>62000</v>
      </c>
    </row>
    <row r="521">
      <c r="A521" s="53" t="n">
        <v>46114</v>
      </c>
      <c r="B521" s="77" t="inlineStr">
        <is>
          <t>Personal Pay  - Facundo</t>
        </is>
      </c>
      <c r="C521" s="109" t="n">
        <v>50000</v>
      </c>
    </row>
    <row r="522">
      <c r="A522" s="105" t="n">
        <v>46114</v>
      </c>
      <c r="B522" s="106" t="inlineStr">
        <is>
          <t>Mercado Pago</t>
        </is>
      </c>
      <c r="C522" s="107" t="n">
        <v>29500</v>
      </c>
    </row>
    <row r="523">
      <c r="A523" s="53" t="n">
        <v>46114</v>
      </c>
      <c r="B523" s="77" t="inlineStr">
        <is>
          <t>Personal Pay  - Facundo</t>
        </is>
      </c>
      <c r="C523" s="109" t="n">
        <v>14500</v>
      </c>
    </row>
    <row r="524">
      <c r="A524" s="105" t="n">
        <v>46114</v>
      </c>
      <c r="B524" s="106" t="inlineStr">
        <is>
          <t>Mercado Pago</t>
        </is>
      </c>
      <c r="C524" s="107" t="n">
        <v>17500</v>
      </c>
    </row>
    <row r="525">
      <c r="A525" s="53" t="n">
        <v>46116</v>
      </c>
      <c r="B525" s="77" t="inlineStr">
        <is>
          <t>Mercado Pago</t>
        </is>
      </c>
      <c r="C525" s="109" t="n">
        <v>5000</v>
      </c>
    </row>
    <row r="526">
      <c r="A526" s="105" t="n">
        <v>46116</v>
      </c>
      <c r="B526" s="106" t="inlineStr">
        <is>
          <t>Mercado Pago</t>
        </is>
      </c>
      <c r="C526" s="107" t="n">
        <v>20000</v>
      </c>
    </row>
    <row r="527">
      <c r="A527" s="53" t="n">
        <v>46116</v>
      </c>
      <c r="B527" s="77" t="inlineStr">
        <is>
          <t>Personal Pay  - Facundo</t>
        </is>
      </c>
      <c r="C527" s="109" t="n">
        <v>15000</v>
      </c>
    </row>
    <row r="528">
      <c r="A528" s="105" t="n">
        <v>46116</v>
      </c>
      <c r="B528" s="106" t="inlineStr">
        <is>
          <t>Mercado Pago</t>
        </is>
      </c>
      <c r="C528" s="107" t="n">
        <v>22000</v>
      </c>
    </row>
    <row r="529">
      <c r="A529" s="53" t="n">
        <v>46116</v>
      </c>
      <c r="B529" s="77" t="inlineStr">
        <is>
          <t>Mercado Pago</t>
        </is>
      </c>
      <c r="C529" s="109" t="n">
        <v>78000</v>
      </c>
    </row>
    <row r="530">
      <c r="A530" s="105" t="n">
        <v>46116</v>
      </c>
      <c r="B530" s="106" t="inlineStr">
        <is>
          <t>Mercado Pago</t>
        </is>
      </c>
      <c r="C530" s="107" t="n">
        <v>72000</v>
      </c>
    </row>
    <row r="531">
      <c r="A531" s="53" t="n">
        <v>46116</v>
      </c>
      <c r="B531" s="77" t="inlineStr">
        <is>
          <t>Mercado Pago</t>
        </is>
      </c>
      <c r="C531" s="109" t="n">
        <v>9500</v>
      </c>
    </row>
    <row r="532">
      <c r="A532" s="105" t="n">
        <v>46116</v>
      </c>
      <c r="B532" s="106" t="inlineStr">
        <is>
          <t>Mercado Pago</t>
        </is>
      </c>
      <c r="C532" s="107" t="n">
        <v>48000</v>
      </c>
    </row>
    <row r="533">
      <c r="A533" s="53" t="n">
        <v>46116</v>
      </c>
      <c r="B533" s="77" t="inlineStr">
        <is>
          <t>Mercado Pago</t>
        </is>
      </c>
      <c r="C533" s="109" t="n">
        <v>4500</v>
      </c>
    </row>
    <row r="534">
      <c r="A534" s="105" t="n">
        <v>46116</v>
      </c>
      <c r="B534" s="106" t="inlineStr">
        <is>
          <t>Mercado Pago</t>
        </is>
      </c>
      <c r="C534" s="107" t="n">
        <v>35000</v>
      </c>
    </row>
    <row r="535">
      <c r="A535" s="53" t="n">
        <v>46116</v>
      </c>
      <c r="B535" s="77" t="inlineStr">
        <is>
          <t>Mercado Pago</t>
        </is>
      </c>
      <c r="C535" s="109" t="n">
        <v>4000</v>
      </c>
    </row>
    <row r="536">
      <c r="A536" s="105" t="n">
        <v>46116</v>
      </c>
      <c r="B536" s="106" t="inlineStr">
        <is>
          <t>Mercado Pago</t>
        </is>
      </c>
      <c r="C536" s="107" t="n">
        <v>4000</v>
      </c>
    </row>
    <row r="537">
      <c r="A537" s="53" t="n">
        <v>46116</v>
      </c>
      <c r="B537" s="77" t="inlineStr">
        <is>
          <t>Mercado Pago</t>
        </is>
      </c>
      <c r="C537" s="109" t="n">
        <v>57300</v>
      </c>
    </row>
    <row r="538">
      <c r="A538" s="105" t="n">
        <v>46116</v>
      </c>
      <c r="B538" s="106" t="inlineStr">
        <is>
          <t>Mercado Pago</t>
        </is>
      </c>
      <c r="C538" s="107" t="n">
        <v>41000</v>
      </c>
    </row>
    <row r="539">
      <c r="A539" s="53" t="n">
        <v>46116</v>
      </c>
      <c r="B539" s="77" t="inlineStr">
        <is>
          <t>Mercado Pago</t>
        </is>
      </c>
      <c r="C539" s="109" t="n">
        <v>28500</v>
      </c>
    </row>
    <row r="540">
      <c r="A540" s="105" t="n">
        <v>46116</v>
      </c>
      <c r="B540" s="106" t="inlineStr">
        <is>
          <t>Mercado Pago</t>
        </is>
      </c>
      <c r="C540" s="107" t="n">
        <v>14000</v>
      </c>
    </row>
    <row r="541">
      <c r="A541" s="53" t="n">
        <v>46116</v>
      </c>
      <c r="B541" s="77" t="inlineStr">
        <is>
          <t>Mercado Pago</t>
        </is>
      </c>
      <c r="C541" s="109" t="n">
        <v>36500</v>
      </c>
    </row>
    <row r="542">
      <c r="A542" s="105" t="n">
        <v>46116</v>
      </c>
      <c r="B542" s="106" t="inlineStr">
        <is>
          <t>Mercado Pago</t>
        </is>
      </c>
      <c r="C542" s="107" t="n">
        <v>14000</v>
      </c>
    </row>
    <row r="543">
      <c r="A543" s="53" t="n">
        <v>46116</v>
      </c>
      <c r="B543" s="77" t="inlineStr">
        <is>
          <t>Mercado Pago</t>
        </is>
      </c>
      <c r="C543" s="109" t="n">
        <v>6500</v>
      </c>
    </row>
    <row r="544">
      <c r="A544" s="105" t="n">
        <v>46117</v>
      </c>
      <c r="B544" s="106" t="inlineStr">
        <is>
          <t>Personal Pay  - Facundo</t>
        </is>
      </c>
      <c r="C544" s="107" t="n">
        <v>40000</v>
      </c>
    </row>
    <row r="545">
      <c r="A545" s="53" t="n">
        <v>46117</v>
      </c>
      <c r="B545" s="77" t="inlineStr">
        <is>
          <t>Personal Pay  - Facundo</t>
        </is>
      </c>
      <c r="C545" s="109" t="n">
        <v>99000</v>
      </c>
    </row>
    <row r="546">
      <c r="A546" s="105" t="n">
        <v>46118</v>
      </c>
      <c r="B546" s="106" t="inlineStr">
        <is>
          <t>Personal Pay  - Facundo</t>
        </is>
      </c>
      <c r="C546" s="107" t="n">
        <v>19500</v>
      </c>
    </row>
    <row r="547">
      <c r="A547" s="53" t="n">
        <v>46118</v>
      </c>
      <c r="B547" s="77" t="inlineStr">
        <is>
          <t>Personal Pay  - Facundo</t>
        </is>
      </c>
      <c r="C547" s="109" t="n">
        <v>30000</v>
      </c>
    </row>
    <row r="548">
      <c r="A548" s="105" t="n">
        <v>46118</v>
      </c>
      <c r="B548" s="106" t="inlineStr">
        <is>
          <t>Personal Pay  - Facundo</t>
        </is>
      </c>
      <c r="C548" s="107" t="n">
        <v>26000</v>
      </c>
    </row>
    <row r="549">
      <c r="A549" s="53" t="n">
        <v>46118</v>
      </c>
      <c r="B549" s="77" t="inlineStr">
        <is>
          <t>Personal Pay  - Facundo</t>
        </is>
      </c>
      <c r="C549" s="109" t="n">
        <v>11000</v>
      </c>
    </row>
    <row r="550">
      <c r="A550" s="105" t="n">
        <v>46119</v>
      </c>
      <c r="B550" s="106" t="inlineStr">
        <is>
          <t>Personal Pay  - Facundo</t>
        </is>
      </c>
      <c r="C550" s="107" t="n">
        <v>39000</v>
      </c>
    </row>
    <row r="551">
      <c r="A551" s="53" t="n">
        <v>46119</v>
      </c>
      <c r="B551" s="77" t="inlineStr">
        <is>
          <t>Personal Pay  - Facundo</t>
        </is>
      </c>
      <c r="C551" s="109" t="n">
        <v>61000</v>
      </c>
    </row>
    <row r="552">
      <c r="A552" s="105" t="n">
        <v>46119</v>
      </c>
      <c r="B552" s="106" t="inlineStr">
        <is>
          <t>Personal Pay  - Facundo</t>
        </is>
      </c>
      <c r="C552" s="107" t="n">
        <v>36000</v>
      </c>
    </row>
    <row r="553">
      <c r="A553" s="53" t="n">
        <v>46119</v>
      </c>
      <c r="B553" s="77" t="inlineStr">
        <is>
          <t>Personal Pay  - Facundo</t>
        </is>
      </c>
      <c r="C553" s="109" t="n">
        <v>8000</v>
      </c>
    </row>
    <row r="554">
      <c r="A554" s="105" t="n">
        <v>46119</v>
      </c>
      <c r="B554" s="106" t="inlineStr">
        <is>
          <t>Personal Pay  - Facundo</t>
        </is>
      </c>
      <c r="C554" s="107" t="n">
        <v>8000</v>
      </c>
    </row>
    <row r="555">
      <c r="A555" s="53" t="n">
        <v>46120</v>
      </c>
      <c r="B555" s="77" t="inlineStr">
        <is>
          <t>Personal Pay  - Facundo</t>
        </is>
      </c>
      <c r="C555" s="109" t="n">
        <v>45000</v>
      </c>
    </row>
    <row r="556">
      <c r="A556" s="105" t="n">
        <v>46120</v>
      </c>
      <c r="B556" s="106" t="inlineStr">
        <is>
          <t>Personal Pay  - Facundo</t>
        </is>
      </c>
      <c r="C556" s="107" t="n">
        <v>12500</v>
      </c>
    </row>
    <row r="557">
      <c r="A557" s="53" t="n">
        <v>46121</v>
      </c>
      <c r="B557" s="77" t="inlineStr">
        <is>
          <t>Personal Pay  - Facundo</t>
        </is>
      </c>
      <c r="C557" s="109" t="n">
        <v>38000</v>
      </c>
    </row>
    <row r="558">
      <c r="A558" s="105" t="n">
        <v>46121</v>
      </c>
      <c r="B558" s="106" t="inlineStr">
        <is>
          <t>Personal Pay  - Facundo</t>
        </is>
      </c>
      <c r="C558" s="107" t="n">
        <v>62500</v>
      </c>
    </row>
    <row r="559">
      <c r="A559" s="53" t="n">
        <v>46121</v>
      </c>
      <c r="B559" s="77" t="inlineStr">
        <is>
          <t>Personal Pay  - Facundo</t>
        </is>
      </c>
      <c r="C559" s="109" t="n">
        <v>33000</v>
      </c>
    </row>
    <row r="560">
      <c r="A560" s="105" t="n">
        <v>46123</v>
      </c>
      <c r="B560" s="106" t="inlineStr">
        <is>
          <t>Personal Pay  - Facundo</t>
        </is>
      </c>
      <c r="C560" s="107" t="n">
        <v>56500</v>
      </c>
    </row>
    <row r="561">
      <c r="A561" s="53" t="n">
        <v>46123</v>
      </c>
      <c r="B561" s="77" t="inlineStr">
        <is>
          <t>Personal Pay  - Facundo</t>
        </is>
      </c>
      <c r="C561" s="109" t="n">
        <v>12000</v>
      </c>
    </row>
    <row r="562">
      <c r="A562" s="105" t="n">
        <v>46123</v>
      </c>
      <c r="B562" s="106" t="inlineStr">
        <is>
          <t>Personal Pay  - Facundo</t>
        </is>
      </c>
      <c r="C562" s="107" t="n">
        <v>100000</v>
      </c>
    </row>
    <row r="563">
      <c r="A563" s="53" t="n">
        <v>46123</v>
      </c>
      <c r="B563" s="77" t="inlineStr">
        <is>
          <t>Personal Pay  - Facundo</t>
        </is>
      </c>
      <c r="C563" s="109" t="n">
        <v>10800</v>
      </c>
    </row>
    <row r="564">
      <c r="A564" s="105" t="n">
        <v>46123</v>
      </c>
      <c r="B564" s="106" t="inlineStr">
        <is>
          <t>Personal Pay  - Facundo</t>
        </is>
      </c>
      <c r="C564" s="107" t="n">
        <v>6500</v>
      </c>
    </row>
    <row r="565">
      <c r="A565" s="53" t="n">
        <v>46123</v>
      </c>
      <c r="B565" s="77" t="inlineStr">
        <is>
          <t>Personal Pay  - Facundo</t>
        </is>
      </c>
      <c r="C565" s="109" t="n">
        <v>29600</v>
      </c>
    </row>
    <row r="566">
      <c r="A566" s="105" t="n">
        <v>46126</v>
      </c>
      <c r="B566" s="106" t="inlineStr">
        <is>
          <t>Personal Pay</t>
        </is>
      </c>
      <c r="C566" s="107" t="n">
        <v>64000</v>
      </c>
    </row>
    <row r="567">
      <c r="A567" s="53" t="n">
        <v>46126</v>
      </c>
      <c r="B567" s="77" t="inlineStr">
        <is>
          <t>Personal Pay</t>
        </is>
      </c>
      <c r="C567" s="109" t="n">
        <v>38000</v>
      </c>
    </row>
    <row r="568">
      <c r="A568" s="105" t="n">
        <v>46126</v>
      </c>
      <c r="B568" s="106" t="inlineStr">
        <is>
          <t>Personal Pay</t>
        </is>
      </c>
      <c r="C568" s="107" t="n">
        <v>42300</v>
      </c>
    </row>
    <row r="569">
      <c r="A569" s="53" t="n">
        <v>46126</v>
      </c>
      <c r="B569" s="77" t="inlineStr">
        <is>
          <t>Personal Pay</t>
        </is>
      </c>
      <c r="C569" s="109" t="n">
        <v>20000</v>
      </c>
    </row>
    <row r="570">
      <c r="A570" s="105" t="n">
        <v>46127</v>
      </c>
      <c r="B570" s="106" t="inlineStr">
        <is>
          <t>Personal Pay</t>
        </is>
      </c>
      <c r="C570" s="107" t="n">
        <v>31000</v>
      </c>
    </row>
    <row r="571">
      <c r="A571" s="53" t="n">
        <v>46127</v>
      </c>
      <c r="B571" s="77" t="inlineStr">
        <is>
          <t>Personal Pay</t>
        </is>
      </c>
      <c r="C571" s="109" t="n">
        <v>57500</v>
      </c>
    </row>
    <row r="572">
      <c r="A572" s="105" t="n">
        <v>46127</v>
      </c>
      <c r="B572" s="106" t="inlineStr">
        <is>
          <t>Mercado Pago</t>
        </is>
      </c>
      <c r="C572" s="107" t="n">
        <v>22000</v>
      </c>
    </row>
    <row r="573">
      <c r="A573" s="53" t="n">
        <v>46129</v>
      </c>
      <c r="B573" s="77" t="inlineStr">
        <is>
          <t>Personal Pay</t>
        </is>
      </c>
      <c r="C573" s="109" t="n">
        <v>56500</v>
      </c>
    </row>
    <row r="574">
      <c r="A574" s="105" t="n">
        <v>46129</v>
      </c>
      <c r="B574" s="106" t="inlineStr">
        <is>
          <t>Personal Pay</t>
        </is>
      </c>
      <c r="C574" s="107" t="n">
        <v>69700</v>
      </c>
    </row>
    <row r="575">
      <c r="A575" s="53" t="n">
        <v>45399</v>
      </c>
      <c r="B575" s="77" t="inlineStr">
        <is>
          <t>Personal Pay</t>
        </is>
      </c>
      <c r="C575" s="109" t="n">
        <v>54000</v>
      </c>
    </row>
    <row r="576">
      <c r="A576" s="105" t="n">
        <v>46130</v>
      </c>
      <c r="B576" s="106" t="inlineStr">
        <is>
          <t>Personal Pay</t>
        </is>
      </c>
      <c r="C576" s="107" t="n">
        <v>24000</v>
      </c>
    </row>
    <row r="577">
      <c r="A577" s="53" t="n">
        <v>46130</v>
      </c>
      <c r="B577" s="77" t="inlineStr">
        <is>
          <t>Personal Pay</t>
        </is>
      </c>
      <c r="C577" s="109" t="n">
        <v>30000</v>
      </c>
    </row>
    <row r="578">
      <c r="A578" s="105" t="n">
        <v>46130</v>
      </c>
      <c r="B578" s="106" t="inlineStr">
        <is>
          <t>Personal Pay</t>
        </is>
      </c>
      <c r="C578" s="107" t="n">
        <v>69500</v>
      </c>
    </row>
    <row r="579">
      <c r="A579" s="53" t="n">
        <v>46130</v>
      </c>
      <c r="B579" s="77" t="inlineStr">
        <is>
          <t>Personal Pay</t>
        </is>
      </c>
      <c r="C579" s="109" t="n">
        <v>61000</v>
      </c>
    </row>
    <row r="580">
      <c r="A580" s="105" t="n">
        <v>46130</v>
      </c>
      <c r="B580" s="106" t="inlineStr">
        <is>
          <t>Personal Pay</t>
        </is>
      </c>
      <c r="C580" s="107" t="n">
        <v>32500</v>
      </c>
    </row>
    <row r="581">
      <c r="A581" s="53" t="n">
        <v>46131</v>
      </c>
      <c r="B581" s="77" t="inlineStr">
        <is>
          <t>Personal Pay</t>
        </is>
      </c>
      <c r="C581" s="109" t="n">
        <v>16000</v>
      </c>
    </row>
    <row r="582">
      <c r="A582" s="105" t="n">
        <v>46131</v>
      </c>
      <c r="B582" s="106" t="inlineStr">
        <is>
          <t>Personal Pay</t>
        </is>
      </c>
      <c r="C582" s="107" t="n">
        <v>9500</v>
      </c>
    </row>
    <row r="583">
      <c r="A583" s="53" t="n">
        <v>46132</v>
      </c>
      <c r="B583" s="77" t="inlineStr">
        <is>
          <t>Personal Pay</t>
        </is>
      </c>
      <c r="C583" s="109" t="n">
        <v>79000</v>
      </c>
    </row>
    <row r="584">
      <c r="A584" s="105" t="n">
        <v>46133</v>
      </c>
      <c r="B584" s="106" t="inlineStr">
        <is>
          <t>Personal Pay</t>
        </is>
      </c>
      <c r="C584" s="107" t="n">
        <v>56000</v>
      </c>
    </row>
    <row r="585">
      <c r="A585" s="53" t="n">
        <v>46133</v>
      </c>
      <c r="B585" s="77" t="inlineStr">
        <is>
          <t>Personal Pay</t>
        </is>
      </c>
      <c r="C585" s="109" t="n">
        <v>56000</v>
      </c>
    </row>
    <row r="586">
      <c r="A586" s="105" t="n">
        <v>46133</v>
      </c>
      <c r="B586" s="106" t="inlineStr">
        <is>
          <t>Personal Pay</t>
        </is>
      </c>
      <c r="C586" s="107" t="n">
        <v>35000</v>
      </c>
    </row>
    <row r="587">
      <c r="A587" s="53" t="n">
        <v>46134</v>
      </c>
      <c r="B587" s="77" t="inlineStr">
        <is>
          <t>Personal Pay</t>
        </is>
      </c>
      <c r="C587" s="109" t="n">
        <v>5500</v>
      </c>
    </row>
    <row r="588">
      <c r="A588" s="105" t="n">
        <v>46134</v>
      </c>
      <c r="B588" s="106" t="inlineStr">
        <is>
          <t>Personal Pay</t>
        </is>
      </c>
      <c r="C588" s="107" t="n">
        <v>110700</v>
      </c>
    </row>
    <row r="589">
      <c r="A589" s="53" t="n">
        <v>46134</v>
      </c>
      <c r="B589" s="77" t="inlineStr">
        <is>
          <t>Personal Pay</t>
        </is>
      </c>
      <c r="C589" s="109" t="n">
        <v>120000</v>
      </c>
    </row>
    <row r="590">
      <c r="A590" s="105" t="n">
        <v>46134</v>
      </c>
      <c r="B590" s="106" t="inlineStr">
        <is>
          <t>Personal Pay</t>
        </is>
      </c>
      <c r="C590" s="107" t="n">
        <v>1500</v>
      </c>
    </row>
    <row r="591">
      <c r="A591" s="53" t="n">
        <v>46134</v>
      </c>
      <c r="B591" s="77" t="inlineStr">
        <is>
          <t>Personal Pay</t>
        </is>
      </c>
      <c r="C591" s="109" t="n">
        <v>15000</v>
      </c>
    </row>
    <row r="592">
      <c r="A592" s="105" t="n">
        <v>46134</v>
      </c>
      <c r="B592" s="106" t="inlineStr">
        <is>
          <t>Naranja</t>
        </is>
      </c>
      <c r="C592" s="107" t="n">
        <v>8000</v>
      </c>
    </row>
    <row r="593">
      <c r="A593" s="53" t="n">
        <v>46134</v>
      </c>
      <c r="B593" s="77" t="inlineStr">
        <is>
          <t>Naranja</t>
        </is>
      </c>
      <c r="C593" s="109" t="n">
        <v>22000</v>
      </c>
    </row>
    <row r="594">
      <c r="A594" s="105" t="n">
        <v>46137</v>
      </c>
      <c r="B594" s="106" t="inlineStr">
        <is>
          <t>Naranja</t>
        </is>
      </c>
      <c r="C594" s="107" t="n">
        <v>91500</v>
      </c>
    </row>
    <row r="595">
      <c r="A595" s="53" t="n">
        <v>46137</v>
      </c>
      <c r="B595" s="77" t="inlineStr">
        <is>
          <t>Naranja</t>
        </is>
      </c>
      <c r="C595" s="109" t="n">
        <v>32500</v>
      </c>
    </row>
    <row r="596">
      <c r="A596" s="105" t="n">
        <v>46137</v>
      </c>
      <c r="B596" s="106" t="inlineStr">
        <is>
          <t>Naranja</t>
        </is>
      </c>
      <c r="C596" s="107" t="n">
        <v>32500</v>
      </c>
    </row>
    <row r="597">
      <c r="A597" s="53" t="n">
        <v>46137</v>
      </c>
      <c r="B597" s="77" t="inlineStr">
        <is>
          <t>Naranja</t>
        </is>
      </c>
      <c r="C597" s="109" t="n">
        <v>101200</v>
      </c>
    </row>
    <row r="598">
      <c r="A598" s="105" t="n">
        <v>46137</v>
      </c>
      <c r="B598" s="106" t="inlineStr">
        <is>
          <t>Naranja</t>
        </is>
      </c>
      <c r="C598" s="107" t="n">
        <v>34700</v>
      </c>
    </row>
    <row r="599">
      <c r="A599" s="53" t="n">
        <v>46139</v>
      </c>
      <c r="B599" s="77" t="inlineStr">
        <is>
          <t>Naranja</t>
        </is>
      </c>
      <c r="C599" s="109" t="n">
        <v>72400</v>
      </c>
    </row>
    <row r="600">
      <c r="A600" s="105" t="n">
        <v>46139</v>
      </c>
      <c r="B600" s="106" t="inlineStr">
        <is>
          <t>Naranja</t>
        </is>
      </c>
      <c r="C600" s="107" t="n">
        <v>25500</v>
      </c>
    </row>
    <row r="601">
      <c r="A601" s="53" t="n">
        <v>46141</v>
      </c>
      <c r="B601" s="77" t="inlineStr">
        <is>
          <t>Naranja</t>
        </is>
      </c>
      <c r="C601" s="109" t="n">
        <v>100000</v>
      </c>
    </row>
    <row r="602">
      <c r="A602" s="105" t="n">
        <v>46141</v>
      </c>
      <c r="B602" s="106" t="inlineStr">
        <is>
          <t>Naranja</t>
        </is>
      </c>
      <c r="C602" s="107" t="n">
        <v>7000</v>
      </c>
    </row>
    <row r="603">
      <c r="A603" s="53" t="n">
        <v>46142</v>
      </c>
      <c r="B603" s="77" t="inlineStr">
        <is>
          <t>Naranja</t>
        </is>
      </c>
      <c r="C603" s="109" t="n">
        <v>18000</v>
      </c>
    </row>
    <row r="604">
      <c r="A604" s="105" t="n">
        <v>46142</v>
      </c>
      <c r="B604" s="106" t="inlineStr">
        <is>
          <t>Naranja</t>
        </is>
      </c>
      <c r="C604" s="107" t="n">
        <v>30800</v>
      </c>
    </row>
    <row r="605">
      <c r="A605" s="53" t="n">
        <v>46142</v>
      </c>
      <c r="B605" s="77" t="inlineStr">
        <is>
          <t>Naranja</t>
        </is>
      </c>
      <c r="C605" s="109" t="n">
        <v>242000</v>
      </c>
    </row>
    <row r="606">
      <c r="A606" s="105" t="n">
        <v>46142</v>
      </c>
      <c r="B606" s="106" t="inlineStr">
        <is>
          <t>Naranja</t>
        </is>
      </c>
      <c r="C606" s="107" t="n">
        <v>75800</v>
      </c>
    </row>
    <row r="607">
      <c r="A607" s="53" t="n">
        <v>46142</v>
      </c>
      <c r="B607" s="77" t="inlineStr">
        <is>
          <t>Naranja</t>
        </is>
      </c>
      <c r="C607" s="109" t="n">
        <v>20000</v>
      </c>
    </row>
    <row r="608">
      <c r="A608" s="105" t="n">
        <v>46142</v>
      </c>
      <c r="B608" s="106" t="inlineStr">
        <is>
          <t>Naranja</t>
        </is>
      </c>
      <c r="C608" s="107" t="n">
        <v>9500</v>
      </c>
    </row>
    <row r="609">
      <c r="A609" s="53" t="n">
        <v>46144</v>
      </c>
      <c r="B609" s="77" t="inlineStr">
        <is>
          <t>Mercado Pago</t>
        </is>
      </c>
      <c r="C609" s="109" t="n">
        <v>188000</v>
      </c>
    </row>
    <row r="610">
      <c r="A610" s="105" t="n">
        <v>46144</v>
      </c>
      <c r="B610" s="106" t="inlineStr">
        <is>
          <t>Mercado Pago</t>
        </is>
      </c>
      <c r="C610" s="107" t="n">
        <v>68000</v>
      </c>
    </row>
    <row r="611">
      <c r="A611" s="53" t="n">
        <v>46144</v>
      </c>
      <c r="B611" s="77" t="inlineStr">
        <is>
          <t>Mercado Pago</t>
        </is>
      </c>
      <c r="C611" s="109" t="n">
        <v>72000</v>
      </c>
    </row>
    <row r="612">
      <c r="A612" s="105" t="n">
        <v>46144</v>
      </c>
      <c r="B612" s="106" t="inlineStr">
        <is>
          <t>Mercado Pago</t>
        </is>
      </c>
      <c r="C612" s="107" t="n">
        <v>92000</v>
      </c>
    </row>
    <row r="613">
      <c r="A613" s="53" t="n">
        <v>46144</v>
      </c>
      <c r="B613" s="77" t="inlineStr">
        <is>
          <t>Mercado Pago</t>
        </is>
      </c>
      <c r="C613" s="109" t="n">
        <v>100000</v>
      </c>
    </row>
    <row r="614">
      <c r="A614" s="105" t="n">
        <v>46144</v>
      </c>
      <c r="B614" s="106" t="inlineStr">
        <is>
          <t>Mercado Pago</t>
        </is>
      </c>
      <c r="C614" s="107" t="n">
        <v>96000</v>
      </c>
    </row>
    <row r="615">
      <c r="A615" s="53" t="n">
        <v>46145</v>
      </c>
      <c r="B615" s="77" t="inlineStr">
        <is>
          <t>Mercado Pago</t>
        </is>
      </c>
      <c r="C615" s="109" t="n">
        <v>150000</v>
      </c>
    </row>
    <row r="616">
      <c r="A616" s="105" t="n">
        <v>46145</v>
      </c>
      <c r="B616" s="106" t="inlineStr">
        <is>
          <t>Mercado Pago</t>
        </is>
      </c>
      <c r="C616" s="107" t="n">
        <v>5000</v>
      </c>
    </row>
    <row r="617">
      <c r="A617" s="53" t="n">
        <v>46145</v>
      </c>
      <c r="B617" s="77" t="inlineStr">
        <is>
          <t>Mercado Pago</t>
        </is>
      </c>
      <c r="C617" s="109" t="n">
        <v>39500</v>
      </c>
    </row>
    <row r="618">
      <c r="A618" s="105" t="n">
        <v>46146</v>
      </c>
      <c r="B618" s="106" t="inlineStr">
        <is>
          <t>Personal Pay</t>
        </is>
      </c>
      <c r="C618" s="107" t="n">
        <v>95000</v>
      </c>
    </row>
    <row r="619">
      <c r="A619" s="53" t="n">
        <v>46146</v>
      </c>
      <c r="B619" s="77" t="inlineStr">
        <is>
          <t>Personal Pay</t>
        </is>
      </c>
      <c r="C619" s="109" t="n">
        <v>83000</v>
      </c>
    </row>
    <row r="620">
      <c r="A620" s="105" t="n">
        <v>46146</v>
      </c>
      <c r="B620" s="106" t="inlineStr">
        <is>
          <t>Personal Pay</t>
        </is>
      </c>
      <c r="C620" s="107" t="n">
        <v>80000</v>
      </c>
    </row>
    <row r="621">
      <c r="A621" s="53" t="n">
        <v>46147</v>
      </c>
      <c r="B621" s="77" t="inlineStr">
        <is>
          <t>Personal Pay</t>
        </is>
      </c>
      <c r="C621" s="109" t="n">
        <v>40500</v>
      </c>
    </row>
    <row r="622">
      <c r="A622" s="105" t="n">
        <v>46147</v>
      </c>
      <c r="B622" s="106" t="inlineStr">
        <is>
          <t>Personal Pay</t>
        </is>
      </c>
      <c r="C622" s="107" t="n">
        <v>20000</v>
      </c>
    </row>
    <row r="623">
      <c r="A623" s="53" t="n">
        <v>46147</v>
      </c>
      <c r="B623" s="77" t="inlineStr">
        <is>
          <t>Personal Pay</t>
        </is>
      </c>
      <c r="C623" s="109" t="n">
        <v>10700</v>
      </c>
    </row>
    <row r="624">
      <c r="A624" s="105" t="n">
        <v>46147</v>
      </c>
      <c r="B624" s="106" t="inlineStr">
        <is>
          <t>Personal Pay</t>
        </is>
      </c>
      <c r="C624" s="107" t="n">
        <v>10700</v>
      </c>
    </row>
    <row r="625">
      <c r="A625" s="53" t="n">
        <v>46147</v>
      </c>
      <c r="B625" s="77" t="inlineStr">
        <is>
          <t>Mercado Pago</t>
        </is>
      </c>
      <c r="C625" s="109" t="n">
        <v>54000</v>
      </c>
    </row>
    <row r="626">
      <c r="A626" s="105" t="n">
        <v>46149</v>
      </c>
      <c r="B626" s="106" t="inlineStr">
        <is>
          <t>Personal Pay</t>
        </is>
      </c>
      <c r="C626" s="107" t="n">
        <v>20600</v>
      </c>
    </row>
    <row r="627">
      <c r="A627" s="53" t="n">
        <v>46150</v>
      </c>
      <c r="B627" s="77" t="inlineStr">
        <is>
          <t>Personal Pay</t>
        </is>
      </c>
      <c r="C627" s="109" t="n">
        <v>10000</v>
      </c>
    </row>
    <row r="628">
      <c r="A628" s="105" t="n">
        <v>46150</v>
      </c>
      <c r="B628" s="106" t="inlineStr">
        <is>
          <t>Personal Pay</t>
        </is>
      </c>
      <c r="C628" s="107" t="n">
        <v>20000</v>
      </c>
    </row>
    <row r="629">
      <c r="A629" s="53" t="n">
        <v>46150</v>
      </c>
      <c r="B629" s="77" t="inlineStr">
        <is>
          <t>Personal Pay</t>
        </is>
      </c>
      <c r="C629" s="109" t="n">
        <v>5000</v>
      </c>
    </row>
    <row r="630">
      <c r="A630" s="105" t="n">
        <v>46150</v>
      </c>
      <c r="B630" s="106" t="inlineStr">
        <is>
          <t>Personal Pay</t>
        </is>
      </c>
      <c r="C630" s="107" t="n">
        <v>59000</v>
      </c>
    </row>
    <row r="631">
      <c r="A631" s="53" t="n">
        <v>46150</v>
      </c>
      <c r="B631" s="77" t="inlineStr">
        <is>
          <t>Personal Pay</t>
        </is>
      </c>
      <c r="C631" s="109" t="n">
        <v>31000</v>
      </c>
    </row>
    <row r="632">
      <c r="A632" s="105" t="n">
        <v>46150</v>
      </c>
      <c r="B632" s="106" t="inlineStr">
        <is>
          <t>Personal Pay</t>
        </is>
      </c>
      <c r="C632" s="107" t="n">
        <v>25000</v>
      </c>
    </row>
    <row r="633">
      <c r="A633" s="53" t="n">
        <v>46150</v>
      </c>
      <c r="B633" s="77" t="inlineStr">
        <is>
          <t>Personal Pay</t>
        </is>
      </c>
      <c r="C633" s="109" t="n">
        <v>7000</v>
      </c>
    </row>
    <row r="634">
      <c r="A634" s="105" t="n">
        <v>46150</v>
      </c>
      <c r="B634" s="106" t="inlineStr">
        <is>
          <t>Personal Pay</t>
        </is>
      </c>
      <c r="C634" s="107" t="n">
        <v>20000</v>
      </c>
    </row>
    <row r="635">
      <c r="A635" s="53" t="n">
        <v>46151</v>
      </c>
      <c r="B635" s="77" t="inlineStr">
        <is>
          <t>Personal Pay</t>
        </is>
      </c>
      <c r="C635" s="109" t="n">
        <v>177500</v>
      </c>
    </row>
    <row r="636">
      <c r="A636" s="105" t="n">
        <v>46151</v>
      </c>
      <c r="B636" s="106" t="inlineStr">
        <is>
          <t>Personal Pay</t>
        </is>
      </c>
      <c r="C636" s="107" t="n">
        <v>177500</v>
      </c>
    </row>
    <row r="637">
      <c r="A637" s="53" t="n">
        <v>46151</v>
      </c>
      <c r="B637" s="77" t="inlineStr">
        <is>
          <t>Personal Pay</t>
        </is>
      </c>
      <c r="C637" s="109" t="n">
        <v>28000</v>
      </c>
    </row>
    <row r="638">
      <c r="A638" s="105" t="n">
        <v>46151</v>
      </c>
      <c r="B638" s="106" t="inlineStr">
        <is>
          <t>Personal Pay</t>
        </is>
      </c>
      <c r="C638" s="107" t="n">
        <v>82000</v>
      </c>
    </row>
    <row r="639">
      <c r="A639" s="53" t="n">
        <v>46151</v>
      </c>
      <c r="B639" s="77" t="inlineStr">
        <is>
          <t>Personal Pay</t>
        </is>
      </c>
      <c r="C639" s="109" t="n">
        <v>23000</v>
      </c>
    </row>
    <row r="640">
      <c r="A640" s="105" t="n">
        <v>46151</v>
      </c>
      <c r="B640" s="106" t="inlineStr">
        <is>
          <t>Brubank  -  Facundo</t>
        </is>
      </c>
      <c r="C640" s="107" t="n">
        <v>81500</v>
      </c>
    </row>
    <row r="641">
      <c r="A641" s="53" t="n">
        <v>46151</v>
      </c>
      <c r="B641" s="77" t="inlineStr">
        <is>
          <t>Brubank  -  Facundo</t>
        </is>
      </c>
      <c r="C641" s="109" t="n">
        <v>34300</v>
      </c>
    </row>
    <row r="642">
      <c r="A642" s="105" t="n">
        <v>46151</v>
      </c>
      <c r="B642" s="106" t="inlineStr">
        <is>
          <t>Brubank  -  Facundo</t>
        </is>
      </c>
      <c r="C642" s="107" t="n">
        <v>10000</v>
      </c>
    </row>
    <row r="643">
      <c r="A643" s="53" t="n">
        <v>46152</v>
      </c>
      <c r="B643" s="77" t="inlineStr">
        <is>
          <t>Brubank  -  Facundo</t>
        </is>
      </c>
      <c r="C643" s="109" t="n">
        <v>47500</v>
      </c>
    </row>
    <row r="644">
      <c r="A644" s="105" t="n">
        <v>46152</v>
      </c>
      <c r="B644" s="106" t="inlineStr">
        <is>
          <t>Brubank  -  Facundo</t>
        </is>
      </c>
      <c r="C644" s="107" t="n">
        <v>5200</v>
      </c>
    </row>
    <row r="645">
      <c r="A645" s="53" t="n">
        <v>46152</v>
      </c>
      <c r="B645" s="77" t="inlineStr">
        <is>
          <t>Brubank  -  Facundo</t>
        </is>
      </c>
      <c r="C645" s="109" t="n">
        <v>35500</v>
      </c>
    </row>
    <row r="646">
      <c r="A646" s="105" t="n">
        <v>46152</v>
      </c>
      <c r="B646" s="106" t="inlineStr">
        <is>
          <t>Brubank  -  Facundo</t>
        </is>
      </c>
      <c r="C646" s="107" t="n">
        <v>7000</v>
      </c>
    </row>
    <row r="647">
      <c r="A647" s="53" t="n">
        <v>46152</v>
      </c>
      <c r="B647" s="77" t="inlineStr">
        <is>
          <t>Brubank  -  Facundo</t>
        </is>
      </c>
      <c r="C647" s="109" t="n">
        <v>114600</v>
      </c>
    </row>
    <row r="648">
      <c r="A648" s="105" t="n">
        <v>46152</v>
      </c>
      <c r="B648" s="106" t="inlineStr">
        <is>
          <t>Brubank  -  Facundo</t>
        </is>
      </c>
      <c r="C648" s="107" t="n">
        <v>3800</v>
      </c>
    </row>
    <row r="649">
      <c r="A649" s="53" t="n">
        <v>46153</v>
      </c>
      <c r="B649" s="77" t="inlineStr">
        <is>
          <t>Brubank  -  Facundo</t>
        </is>
      </c>
      <c r="C649" s="109" t="n">
        <v>108000</v>
      </c>
    </row>
    <row r="650">
      <c r="A650" s="105" t="n">
        <v>46154</v>
      </c>
      <c r="B650" s="106" t="inlineStr">
        <is>
          <t>Brubank  -  Facundo</t>
        </is>
      </c>
      <c r="C650" s="107" t="n">
        <v>35000</v>
      </c>
    </row>
    <row r="651">
      <c r="A651" s="53" t="n">
        <v>46155</v>
      </c>
      <c r="B651" s="77" t="inlineStr">
        <is>
          <t>Brubank  -  Facundo</t>
        </is>
      </c>
      <c r="C651" s="109" t="n">
        <v>50000</v>
      </c>
    </row>
    <row r="652">
      <c r="A652" s="105" t="n">
        <v>46155</v>
      </c>
      <c r="B652" s="106" t="inlineStr">
        <is>
          <t>Brubank  -  Facundo</t>
        </is>
      </c>
      <c r="C652" s="107" t="n">
        <v>21000</v>
      </c>
    </row>
    <row r="653">
      <c r="A653" s="53" t="n">
        <v>46156</v>
      </c>
      <c r="B653" s="77" t="inlineStr">
        <is>
          <t>Brubank  -  Facundo</t>
        </is>
      </c>
      <c r="C653" s="109" t="n">
        <v>93000</v>
      </c>
    </row>
    <row r="654">
      <c r="A654" s="105" t="n">
        <v>46156</v>
      </c>
      <c r="B654" s="106" t="inlineStr">
        <is>
          <t>Brubank  -  Facundo</t>
        </is>
      </c>
      <c r="C654" s="107" t="n">
        <v>59000</v>
      </c>
    </row>
    <row r="655">
      <c r="A655" s="53" t="n">
        <v>46156</v>
      </c>
      <c r="B655" s="77" t="inlineStr">
        <is>
          <t>Brubank  -  Facundo</t>
        </is>
      </c>
      <c r="C655" s="109" t="n">
        <v>60000</v>
      </c>
    </row>
    <row r="656">
      <c r="A656" s="105" t="n">
        <v>46158</v>
      </c>
      <c r="B656" s="106" t="inlineStr">
        <is>
          <t>Brubank  -  Facundo</t>
        </is>
      </c>
      <c r="C656" s="107" t="n">
        <v>145500</v>
      </c>
    </row>
    <row r="657">
      <c r="A657" s="53" t="n">
        <v>46158</v>
      </c>
      <c r="B657" s="77" t="inlineStr">
        <is>
          <t>Brubank  -  Facundo</t>
        </is>
      </c>
      <c r="C657" s="109" t="n">
        <v>30000</v>
      </c>
    </row>
    <row r="658">
      <c r="A658" s="105" t="n">
        <v>46158</v>
      </c>
      <c r="B658" s="106" t="inlineStr">
        <is>
          <t>Brubank  -  Facundo</t>
        </is>
      </c>
      <c r="C658" s="107" t="n">
        <v>29500</v>
      </c>
    </row>
    <row r="659">
      <c r="A659" s="53" t="n">
        <v>46158</v>
      </c>
      <c r="B659" s="77" t="inlineStr">
        <is>
          <t>Brubank  -  Facundo</t>
        </is>
      </c>
      <c r="C659" s="109" t="n">
        <v>70000</v>
      </c>
    </row>
    <row r="660">
      <c r="A660" s="105" t="n">
        <v>46158</v>
      </c>
      <c r="B660" s="106" t="inlineStr">
        <is>
          <t>Brubank  -  Facundo</t>
        </is>
      </c>
      <c r="C660" s="107" t="n">
        <v>34000</v>
      </c>
    </row>
    <row r="661">
      <c r="A661" s="53" t="n">
        <v>46158</v>
      </c>
      <c r="B661" s="77" t="inlineStr">
        <is>
          <t>Brubank  -  Facundo</t>
        </is>
      </c>
      <c r="C661" s="109" t="n">
        <v>55500</v>
      </c>
    </row>
    <row r="662">
      <c r="A662" s="105" t="n">
        <v>46158</v>
      </c>
      <c r="B662" s="106" t="inlineStr">
        <is>
          <t>Brubank  -  Facundo</t>
        </is>
      </c>
      <c r="C662" s="107" t="n">
        <v>45000</v>
      </c>
    </row>
    <row r="663">
      <c r="A663" s="53" t="n">
        <v>46158</v>
      </c>
      <c r="B663" s="77" t="inlineStr">
        <is>
          <t>Brubank  -  Facundo</t>
        </is>
      </c>
      <c r="C663" s="109" t="n">
        <v>6500</v>
      </c>
    </row>
    <row r="664">
      <c r="A664" s="105" t="n">
        <v>46158</v>
      </c>
      <c r="B664" s="106" t="inlineStr">
        <is>
          <t>Brubank  -  Facundo</t>
        </is>
      </c>
      <c r="C664" s="107" t="n">
        <v>50000</v>
      </c>
    </row>
    <row r="665">
      <c r="A665" s="53" t="n">
        <v>46158</v>
      </c>
      <c r="B665" s="77" t="inlineStr">
        <is>
          <t>Personal Pay</t>
        </is>
      </c>
      <c r="C665" s="109" t="n">
        <v>28000</v>
      </c>
    </row>
    <row r="666">
      <c r="A666" s="105" t="n">
        <v>46158</v>
      </c>
      <c r="B666" s="106" t="inlineStr">
        <is>
          <t>Naranja</t>
        </is>
      </c>
      <c r="C666" s="107" t="n">
        <v>58500</v>
      </c>
    </row>
    <row r="667">
      <c r="A667" s="53" t="n">
        <v>46158</v>
      </c>
      <c r="B667" s="77" t="inlineStr">
        <is>
          <t>Naranja</t>
        </is>
      </c>
      <c r="C667" s="109" t="n">
        <v>43000</v>
      </c>
    </row>
    <row r="668">
      <c r="A668" s="105" t="n">
        <v>46159</v>
      </c>
      <c r="B668" s="106" t="inlineStr">
        <is>
          <t>Naranja</t>
        </is>
      </c>
      <c r="C668" s="107" t="n">
        <v>5000</v>
      </c>
    </row>
    <row r="669">
      <c r="A669" s="53" t="n">
        <v>46159</v>
      </c>
      <c r="B669" s="77" t="inlineStr">
        <is>
          <t>Naranja</t>
        </is>
      </c>
      <c r="C669" s="109" t="n">
        <v>57000</v>
      </c>
    </row>
    <row r="670">
      <c r="A670" s="105" t="n">
        <v>46159</v>
      </c>
      <c r="B670" s="106" t="inlineStr">
        <is>
          <t>Naranja</t>
        </is>
      </c>
      <c r="C670" s="107" t="n">
        <v>65000</v>
      </c>
    </row>
    <row r="671">
      <c r="A671" s="53" t="n">
        <v>46160</v>
      </c>
      <c r="B671" s="77" t="inlineStr">
        <is>
          <t>Naranja</t>
        </is>
      </c>
      <c r="C671" s="109" t="n">
        <v>4000</v>
      </c>
    </row>
    <row r="672">
      <c r="A672" s="105" t="n">
        <v>46160</v>
      </c>
      <c r="B672" s="106" t="inlineStr">
        <is>
          <t>Naranja</t>
        </is>
      </c>
      <c r="C672" s="107" t="n">
        <v>21200</v>
      </c>
    </row>
    <row r="673">
      <c r="A673" s="53" t="n">
        <v>46160</v>
      </c>
      <c r="B673" s="77" t="inlineStr">
        <is>
          <t>Naranja</t>
        </is>
      </c>
      <c r="C673" s="109" t="n">
        <v>49000</v>
      </c>
    </row>
    <row r="674">
      <c r="A674" s="105" t="n">
        <v>46160</v>
      </c>
      <c r="B674" s="106" t="inlineStr">
        <is>
          <t>Naranja</t>
        </is>
      </c>
      <c r="C674" s="107" t="n">
        <v>28000</v>
      </c>
    </row>
    <row r="675">
      <c r="A675" s="53" t="n">
        <v>46160</v>
      </c>
      <c r="B675" s="77" t="inlineStr">
        <is>
          <t>Naranja</t>
        </is>
      </c>
      <c r="C675" s="109" t="n">
        <v>45000</v>
      </c>
    </row>
    <row r="676">
      <c r="A676" s="105" t="n">
        <v>46160</v>
      </c>
      <c r="B676" s="106" t="inlineStr">
        <is>
          <t>Naranja</t>
        </is>
      </c>
      <c r="C676" s="107" t="n">
        <v>51000</v>
      </c>
    </row>
    <row r="677">
      <c r="A677" s="53" t="n">
        <v>46160</v>
      </c>
      <c r="B677" s="77" t="inlineStr">
        <is>
          <t>Naranja</t>
        </is>
      </c>
      <c r="C677" s="109" t="n">
        <v>21000</v>
      </c>
    </row>
    <row r="678">
      <c r="A678" s="105" t="n">
        <v>46160</v>
      </c>
      <c r="B678" s="106" t="inlineStr">
        <is>
          <t>Naranja</t>
        </is>
      </c>
      <c r="C678" s="107" t="n">
        <v>36000</v>
      </c>
    </row>
    <row r="679">
      <c r="A679" s="53" t="n">
        <v>46160</v>
      </c>
      <c r="B679" s="77" t="inlineStr">
        <is>
          <t>Naranja</t>
        </is>
      </c>
      <c r="C679" s="109" t="n">
        <v>11800</v>
      </c>
    </row>
    <row r="680">
      <c r="A680" s="105" t="n">
        <v>46160</v>
      </c>
      <c r="B680" s="106" t="inlineStr">
        <is>
          <t>Naranja</t>
        </is>
      </c>
      <c r="C680" s="107" t="n">
        <v>92500</v>
      </c>
    </row>
    <row r="681">
      <c r="A681" s="53" t="n">
        <v>46161</v>
      </c>
      <c r="B681" s="77" t="inlineStr">
        <is>
          <t>Personal Pay  - Facundo</t>
        </is>
      </c>
      <c r="C681" s="109" t="n">
        <v>73000</v>
      </c>
    </row>
    <row r="682">
      <c r="A682" s="105" t="n">
        <v>46161</v>
      </c>
      <c r="B682" s="106" t="inlineStr">
        <is>
          <t>Personal Pay  - Facundo</t>
        </is>
      </c>
      <c r="C682" s="107" t="n">
        <v>43000</v>
      </c>
    </row>
    <row r="683">
      <c r="A683" s="53" t="n">
        <v>46161</v>
      </c>
      <c r="B683" s="77" t="inlineStr">
        <is>
          <t>Personal Pay  - Facundo</t>
        </is>
      </c>
      <c r="C683" s="109" t="n">
        <v>19800</v>
      </c>
    </row>
    <row r="684">
      <c r="A684" s="105" t="n">
        <v>46161</v>
      </c>
      <c r="B684" s="106" t="inlineStr">
        <is>
          <t>Personal Pay  - Facundo</t>
        </is>
      </c>
      <c r="C684" s="107" t="n">
        <v>13500</v>
      </c>
    </row>
    <row r="685">
      <c r="A685" s="53" t="n">
        <v>46161</v>
      </c>
      <c r="B685" s="77" t="inlineStr">
        <is>
          <t>Naranja</t>
        </is>
      </c>
      <c r="C685" s="109" t="n">
        <v>8000</v>
      </c>
    </row>
    <row r="686">
      <c r="A686" s="105" t="n">
        <v>46162</v>
      </c>
      <c r="B686" s="106" t="inlineStr">
        <is>
          <t>Personal Pay  - Facundo</t>
        </is>
      </c>
      <c r="C686" s="107" t="n">
        <v>38000</v>
      </c>
    </row>
    <row r="687">
      <c r="A687" s="53" t="n">
        <v>46162</v>
      </c>
      <c r="B687" s="77" t="inlineStr">
        <is>
          <t>Personal Pay  - Facundo</t>
        </is>
      </c>
      <c r="C687" s="109" t="n">
        <v>15000</v>
      </c>
    </row>
    <row r="688">
      <c r="A688" s="105" t="n">
        <v>46162</v>
      </c>
      <c r="B688" s="106" t="inlineStr">
        <is>
          <t>Personal Pay  - Facundo</t>
        </is>
      </c>
      <c r="C688" s="107" t="n">
        <v>12000</v>
      </c>
    </row>
    <row r="689">
      <c r="A689" s="53" t="n">
        <v>46162</v>
      </c>
      <c r="B689" s="77" t="inlineStr">
        <is>
          <t>Personal Pay  - Facundo</t>
        </is>
      </c>
      <c r="C689" s="109" t="n">
        <v>19000</v>
      </c>
    </row>
    <row r="690">
      <c r="A690" s="105" t="n">
        <v>46162</v>
      </c>
      <c r="B690" s="106" t="inlineStr">
        <is>
          <t>Personal Pay  - Facundo</t>
        </is>
      </c>
      <c r="C690" s="107" t="n">
        <v>6800</v>
      </c>
    </row>
    <row r="691">
      <c r="A691" s="53" t="n">
        <v>46162</v>
      </c>
      <c r="B691" s="77" t="inlineStr">
        <is>
          <t>Personal Pay  - Facundo</t>
        </is>
      </c>
      <c r="C691" s="109" t="n">
        <v>17000</v>
      </c>
    </row>
    <row r="692">
      <c r="A692" s="105" t="n">
        <v>46162</v>
      </c>
      <c r="B692" s="106" t="inlineStr">
        <is>
          <t>Personal Pay  - Facundo</t>
        </is>
      </c>
      <c r="C692" s="107" t="n">
        <v>15000</v>
      </c>
    </row>
    <row r="693">
      <c r="A693" s="53" t="n">
        <v>46162</v>
      </c>
      <c r="B693" s="77" t="inlineStr">
        <is>
          <t>Personal Pay  - Facundo</t>
        </is>
      </c>
      <c r="C693" s="109" t="n">
        <v>43000</v>
      </c>
    </row>
    <row r="694">
      <c r="A694" s="105" t="n">
        <v>46165</v>
      </c>
      <c r="B694" s="106" t="inlineStr">
        <is>
          <t>Personal Pay  - Facundo</t>
        </is>
      </c>
      <c r="C694" s="107" t="n">
        <v>264500</v>
      </c>
    </row>
    <row r="695">
      <c r="A695" s="53" t="n">
        <v>46165</v>
      </c>
      <c r="B695" s="77" t="inlineStr">
        <is>
          <t>Personal Pay  - Facundo</t>
        </is>
      </c>
      <c r="C695" s="109" t="n">
        <v>60000</v>
      </c>
    </row>
    <row r="696">
      <c r="A696" s="105" t="n">
        <v>46165</v>
      </c>
      <c r="B696" s="106" t="inlineStr">
        <is>
          <t>Personal Pay  - Facundo</t>
        </is>
      </c>
      <c r="C696" s="107" t="n">
        <v>7500</v>
      </c>
    </row>
    <row r="697">
      <c r="A697" s="53" t="n">
        <v>46166</v>
      </c>
      <c r="B697" s="77" t="inlineStr">
        <is>
          <t>Personal Pay  - Facundo</t>
        </is>
      </c>
      <c r="C697" s="109" t="n">
        <v>53000</v>
      </c>
    </row>
    <row r="698">
      <c r="A698" s="105" t="n">
        <v>46166</v>
      </c>
      <c r="B698" s="106" t="inlineStr">
        <is>
          <t>Personal Pay  - Facundo</t>
        </is>
      </c>
      <c r="C698" s="107" t="n">
        <v>92000</v>
      </c>
    </row>
    <row r="699">
      <c r="A699" s="53" t="n">
        <v>46166</v>
      </c>
      <c r="B699" s="77" t="inlineStr">
        <is>
          <t>Personal Pay  - Facundo</t>
        </is>
      </c>
      <c r="C699" s="109" t="n">
        <v>7500</v>
      </c>
    </row>
    <row r="700">
      <c r="A700" s="105" t="n">
        <v>46166</v>
      </c>
      <c r="B700" s="106" t="inlineStr">
        <is>
          <t>Personal Pay  - Facundo</t>
        </is>
      </c>
      <c r="C700" s="107" t="n">
        <v>20000</v>
      </c>
    </row>
    <row r="701">
      <c r="A701" s="53" t="n">
        <v>46166</v>
      </c>
      <c r="B701" s="77" t="inlineStr">
        <is>
          <t>Personal Pay  - Facundo</t>
        </is>
      </c>
      <c r="C701" s="109" t="n">
        <v>13500</v>
      </c>
    </row>
    <row r="702">
      <c r="A702" s="105" t="n">
        <v>46166</v>
      </c>
      <c r="B702" s="106" t="inlineStr">
        <is>
          <t>Personal Pay  - Facundo</t>
        </is>
      </c>
      <c r="C702" s="107" t="n">
        <v>1000</v>
      </c>
    </row>
    <row r="703">
      <c r="A703" s="53" t="n">
        <v>46167</v>
      </c>
      <c r="B703" s="77" t="inlineStr">
        <is>
          <t>Personal Pay  - Facundo</t>
        </is>
      </c>
      <c r="C703" s="109" t="n">
        <v>35000</v>
      </c>
    </row>
    <row r="704">
      <c r="A704" s="105" t="n">
        <v>46167</v>
      </c>
      <c r="B704" s="106" t="inlineStr">
        <is>
          <t>Naranja</t>
        </is>
      </c>
      <c r="C704" s="107" t="n">
        <v>40000</v>
      </c>
    </row>
    <row r="705">
      <c r="A705" s="53" t="n">
        <v>46167</v>
      </c>
      <c r="B705" s="77" t="inlineStr">
        <is>
          <t>Naranja</t>
        </is>
      </c>
      <c r="C705" s="109" t="n">
        <v>25500</v>
      </c>
    </row>
    <row r="706">
      <c r="A706" s="105" t="n">
        <v>46167</v>
      </c>
      <c r="B706" s="106" t="inlineStr">
        <is>
          <t>Naranja</t>
        </is>
      </c>
      <c r="C706" s="107" t="n">
        <v>35600</v>
      </c>
    </row>
    <row r="707">
      <c r="A707" s="53" t="n">
        <v>46167</v>
      </c>
      <c r="B707" s="77" t="inlineStr">
        <is>
          <t>Naranja</t>
        </is>
      </c>
      <c r="C707" s="109" t="n">
        <v>25000</v>
      </c>
    </row>
    <row r="708">
      <c r="A708" s="105" t="n">
        <v>46168</v>
      </c>
      <c r="B708" s="106" t="inlineStr">
        <is>
          <t>Naranja</t>
        </is>
      </c>
      <c r="C708" s="107" t="n">
        <v>54500</v>
      </c>
    </row>
    <row r="709">
      <c r="A709" s="53" t="n">
        <v>46170</v>
      </c>
      <c r="B709" s="77" t="inlineStr">
        <is>
          <t>Naranja</t>
        </is>
      </c>
      <c r="C709" s="109" t="n">
        <v>14000</v>
      </c>
    </row>
    <row r="710">
      <c r="A710" s="105" t="n">
        <v>46170</v>
      </c>
      <c r="B710" s="106" t="inlineStr">
        <is>
          <t>Naranja</t>
        </is>
      </c>
      <c r="C710" s="107" t="n">
        <v>51000</v>
      </c>
    </row>
    <row r="711">
      <c r="A711" s="53" t="n">
        <v>46171</v>
      </c>
      <c r="B711" s="77" t="inlineStr">
        <is>
          <t>Mercado Pago - Facundo</t>
        </is>
      </c>
      <c r="C711" s="109" t="n">
        <v>132000</v>
      </c>
    </row>
    <row r="712">
      <c r="A712" s="105" t="n">
        <v>46171</v>
      </c>
      <c r="B712" s="106" t="inlineStr">
        <is>
          <t>Mercado Pago - Facundo</t>
        </is>
      </c>
      <c r="C712" s="107" t="n">
        <v>16000</v>
      </c>
    </row>
    <row r="713">
      <c r="A713" s="53" t="n">
        <v>46171</v>
      </c>
      <c r="B713" s="77" t="inlineStr">
        <is>
          <t>Mercado Pago - Facundo</t>
        </is>
      </c>
      <c r="C713" s="109" t="n">
        <v>400</v>
      </c>
    </row>
    <row r="714">
      <c r="A714" s="105" t="n">
        <v>46171</v>
      </c>
      <c r="B714" s="106" t="inlineStr">
        <is>
          <t>Mercado Pago - Facundo</t>
        </is>
      </c>
      <c r="C714" s="107" t="n">
        <v>57000</v>
      </c>
    </row>
    <row r="715">
      <c r="A715" s="53" t="n">
        <v>46172</v>
      </c>
      <c r="B715" s="77" t="inlineStr">
        <is>
          <t>Mercado Pago - Facundo</t>
        </is>
      </c>
      <c r="C715" s="109" t="n">
        <v>35000</v>
      </c>
    </row>
    <row r="716">
      <c r="A716" s="105" t="n">
        <v>46172</v>
      </c>
      <c r="B716" s="106" t="inlineStr">
        <is>
          <t>Mercado Pago - Facundo</t>
        </is>
      </c>
      <c r="C716" s="107" t="n">
        <v>53000</v>
      </c>
    </row>
    <row r="717">
      <c r="A717" s="53" t="n">
        <v>46172</v>
      </c>
      <c r="B717" s="77" t="inlineStr">
        <is>
          <t>Mercado Pago - Facundo</t>
        </is>
      </c>
      <c r="C717" s="109" t="n">
        <v>40000</v>
      </c>
    </row>
    <row r="718">
      <c r="A718" s="105" t="n">
        <v>46172</v>
      </c>
      <c r="B718" s="106" t="inlineStr">
        <is>
          <t>Mercado Pago - Facundo</t>
        </is>
      </c>
      <c r="C718" s="107" t="n">
        <v>74000</v>
      </c>
    </row>
    <row r="719">
      <c r="A719" s="53" t="n">
        <v>46172</v>
      </c>
      <c r="B719" s="77" t="inlineStr">
        <is>
          <t>Mercado Pago - Facundo</t>
        </is>
      </c>
      <c r="C719" s="109" t="n">
        <v>18000</v>
      </c>
    </row>
    <row r="720">
      <c r="A720" s="105" t="n">
        <v>46172</v>
      </c>
      <c r="B720" s="106" t="inlineStr">
        <is>
          <t>Mercado Pago - Facundo</t>
        </is>
      </c>
      <c r="C720" s="107" t="n">
        <v>73000</v>
      </c>
    </row>
    <row r="721">
      <c r="A721" s="53" t="n">
        <v>46172</v>
      </c>
      <c r="B721" s="77" t="inlineStr">
        <is>
          <t>Mercado Pago - Facundo</t>
        </is>
      </c>
      <c r="C721" s="109" t="n">
        <v>10000</v>
      </c>
    </row>
    <row r="722">
      <c r="A722" s="105" t="n">
        <v>46172</v>
      </c>
      <c r="B722" s="106" t="inlineStr">
        <is>
          <t>Mercado Pago - Facundo</t>
        </is>
      </c>
      <c r="C722" s="107" t="n">
        <v>380000</v>
      </c>
    </row>
    <row r="723">
      <c r="A723" s="53" t="n">
        <v>46172</v>
      </c>
      <c r="B723" s="77" t="inlineStr">
        <is>
          <t>Mercado Pago - Facundo</t>
        </is>
      </c>
      <c r="C723" s="109" t="n">
        <v>7000</v>
      </c>
    </row>
    <row r="724">
      <c r="A724" s="105" t="n">
        <v>46172</v>
      </c>
      <c r="B724" s="106" t="inlineStr">
        <is>
          <t>Mercado Pago - Facundo</t>
        </is>
      </c>
      <c r="C724" s="107" t="n">
        <v>56000</v>
      </c>
    </row>
    <row r="725">
      <c r="A725" s="53" t="n">
        <v>46172</v>
      </c>
      <c r="B725" s="77" t="inlineStr">
        <is>
          <t>Mercado Pago - Facundo</t>
        </is>
      </c>
      <c r="C725" s="109" t="n">
        <v>119500</v>
      </c>
    </row>
    <row r="726">
      <c r="A726" s="105" t="n">
        <v>46174</v>
      </c>
      <c r="B726" s="106" t="inlineStr">
        <is>
          <t>Mercado Pago</t>
        </is>
      </c>
      <c r="C726" s="107" t="n">
        <v>49700</v>
      </c>
    </row>
    <row r="727">
      <c r="A727" s="53" t="n">
        <v>46174</v>
      </c>
      <c r="B727" s="77" t="inlineStr">
        <is>
          <t>Mercado Pago</t>
        </is>
      </c>
      <c r="C727" s="109" t="n">
        <v>49700</v>
      </c>
    </row>
    <row r="728">
      <c r="A728" s="105" t="n">
        <v>46174</v>
      </c>
      <c r="B728" s="106" t="inlineStr">
        <is>
          <t>Mercado Pago</t>
        </is>
      </c>
      <c r="C728" s="107" t="n">
        <v>7500</v>
      </c>
    </row>
    <row r="729">
      <c r="A729" s="53" t="n">
        <v>46174</v>
      </c>
      <c r="B729" s="77" t="inlineStr">
        <is>
          <t>Mercado Pago</t>
        </is>
      </c>
      <c r="C729" s="109" t="n">
        <v>56500</v>
      </c>
    </row>
    <row r="730">
      <c r="A730" s="105" t="n">
        <v>46174</v>
      </c>
      <c r="B730" s="106" t="inlineStr">
        <is>
          <t>Mercado Pago</t>
        </is>
      </c>
      <c r="C730" s="107" t="n">
        <v>43500</v>
      </c>
    </row>
    <row r="731">
      <c r="A731" s="53" t="n">
        <v>46174</v>
      </c>
      <c r="B731" s="77" t="inlineStr">
        <is>
          <t>Mercado Pago</t>
        </is>
      </c>
      <c r="C731" s="109" t="n">
        <v>29000</v>
      </c>
    </row>
    <row r="732">
      <c r="A732" s="105" t="n">
        <v>46175</v>
      </c>
      <c r="B732" s="106" t="inlineStr">
        <is>
          <t>Mercado Pago</t>
        </is>
      </c>
      <c r="C732" s="107" t="n">
        <v>16000</v>
      </c>
    </row>
    <row r="733">
      <c r="A733" s="53" t="n">
        <v>46175</v>
      </c>
      <c r="B733" s="77" t="inlineStr">
        <is>
          <t>Mercado Pago</t>
        </is>
      </c>
      <c r="C733" s="109" t="n">
        <v>50000</v>
      </c>
    </row>
    <row r="734">
      <c r="A734" s="105" t="n">
        <v>46175</v>
      </c>
      <c r="B734" s="106" t="inlineStr">
        <is>
          <t>Mercado Pago</t>
        </is>
      </c>
      <c r="C734" s="107" t="n">
        <v>32000</v>
      </c>
    </row>
    <row r="735">
      <c r="A735" s="53" t="n">
        <v>46175</v>
      </c>
      <c r="B735" s="77" t="inlineStr">
        <is>
          <t>Mercado Pago</t>
        </is>
      </c>
      <c r="C735" s="109" t="n">
        <v>1000</v>
      </c>
    </row>
    <row r="736">
      <c r="A736" s="105" t="n">
        <v>46175</v>
      </c>
      <c r="B736" s="106" t="inlineStr">
        <is>
          <t>Mercado Pago</t>
        </is>
      </c>
      <c r="C736" s="107" t="n">
        <v>20000</v>
      </c>
    </row>
    <row r="737">
      <c r="A737" s="53" t="n">
        <v>46175</v>
      </c>
      <c r="B737" s="77" t="inlineStr">
        <is>
          <t>Mercado Pago</t>
        </is>
      </c>
      <c r="C737" s="109" t="n">
        <v>7000</v>
      </c>
    </row>
    <row r="738">
      <c r="A738" s="105" t="n">
        <v>46175</v>
      </c>
      <c r="B738" s="106" t="inlineStr">
        <is>
          <t>Mercado Pago</t>
        </is>
      </c>
      <c r="C738" s="107" t="n">
        <v>53500</v>
      </c>
    </row>
    <row r="739">
      <c r="A739" s="53" t="n">
        <v>46175</v>
      </c>
      <c r="B739" s="77" t="inlineStr">
        <is>
          <t>Mercado Pago</t>
        </is>
      </c>
      <c r="C739" s="109" t="n">
        <v>49000</v>
      </c>
    </row>
    <row r="740">
      <c r="A740" s="105" t="n">
        <v>46177</v>
      </c>
      <c r="B740" s="106" t="inlineStr">
        <is>
          <t>Mercado Pago</t>
        </is>
      </c>
      <c r="C740" s="107" t="n">
        <v>116000</v>
      </c>
    </row>
    <row r="741">
      <c r="A741" s="53" t="n">
        <v>46177</v>
      </c>
      <c r="B741" s="77" t="inlineStr">
        <is>
          <t>Mercado Pago</t>
        </is>
      </c>
      <c r="C741" s="109" t="n">
        <v>151000</v>
      </c>
    </row>
    <row r="742">
      <c r="A742" s="105" t="n">
        <v>46177</v>
      </c>
      <c r="B742" s="106" t="inlineStr">
        <is>
          <t>Mercado Pago</t>
        </is>
      </c>
      <c r="C742" s="107" t="n">
        <v>53000</v>
      </c>
    </row>
    <row r="743">
      <c r="A743" s="53" t="n">
        <v>46178</v>
      </c>
      <c r="B743" s="77" t="inlineStr">
        <is>
          <t>Mercado Pago</t>
        </is>
      </c>
      <c r="C743" s="109" t="n">
        <v>55000</v>
      </c>
    </row>
    <row r="744">
      <c r="A744" s="105" t="n">
        <v>46178</v>
      </c>
      <c r="B744" s="106" t="inlineStr">
        <is>
          <t>Mercado Pago</t>
        </is>
      </c>
      <c r="C744" s="107" t="n">
        <v>25000</v>
      </c>
    </row>
    <row r="745">
      <c r="A745" s="53" t="n">
        <v>46178</v>
      </c>
      <c r="B745" s="77" t="inlineStr">
        <is>
          <t>Mercado Pago</t>
        </is>
      </c>
      <c r="C745" s="109" t="n">
        <v>40000</v>
      </c>
    </row>
    <row r="746">
      <c r="A746" s="105" t="n">
        <v>46178</v>
      </c>
      <c r="B746" s="106" t="inlineStr">
        <is>
          <t>Mercado Pago</t>
        </is>
      </c>
      <c r="C746" s="107" t="n">
        <v>90500</v>
      </c>
    </row>
    <row r="747">
      <c r="A747" s="53" t="n">
        <v>46178</v>
      </c>
      <c r="B747" s="77" t="inlineStr">
        <is>
          <t>Mercado Pago</t>
        </is>
      </c>
      <c r="C747" s="109" t="n">
        <v>19000</v>
      </c>
    </row>
    <row r="748">
      <c r="A748" s="105" t="n">
        <v>46178</v>
      </c>
      <c r="B748" s="106" t="inlineStr">
        <is>
          <t>Mercado Pago</t>
        </is>
      </c>
      <c r="C748" s="107" t="n">
        <v>65000</v>
      </c>
    </row>
    <row r="749">
      <c r="A749" s="53" t="n">
        <v>46178</v>
      </c>
      <c r="B749" s="77" t="inlineStr">
        <is>
          <t>Mercado Pago</t>
        </is>
      </c>
      <c r="C749" s="109" t="n">
        <v>6500</v>
      </c>
    </row>
    <row r="750">
      <c r="A750" s="105" t="n">
        <v>46178</v>
      </c>
      <c r="B750" s="106" t="inlineStr">
        <is>
          <t>Mercado Pago</t>
        </is>
      </c>
      <c r="C750" s="107" t="n">
        <v>40000</v>
      </c>
    </row>
    <row r="751">
      <c r="A751" s="53" t="n">
        <v>46178</v>
      </c>
      <c r="B751" s="77" t="inlineStr">
        <is>
          <t>Mercado Pago</t>
        </is>
      </c>
      <c r="C751" s="109" t="n">
        <v>17000</v>
      </c>
    </row>
    <row r="752">
      <c r="A752" s="105" t="n">
        <v>46179</v>
      </c>
      <c r="B752" s="106" t="inlineStr">
        <is>
          <t>Personal Pay</t>
        </is>
      </c>
      <c r="C752" s="107" t="n">
        <v>45000</v>
      </c>
    </row>
    <row r="753">
      <c r="A753" s="53" t="n">
        <v>46179</v>
      </c>
      <c r="B753" s="77" t="inlineStr">
        <is>
          <t>Personal Pay</t>
        </is>
      </c>
      <c r="C753" s="109" t="n">
        <v>11000</v>
      </c>
    </row>
    <row r="754">
      <c r="A754" s="105" t="n">
        <v>46179</v>
      </c>
      <c r="B754" s="106" t="inlineStr">
        <is>
          <t>Personal Pay</t>
        </is>
      </c>
      <c r="C754" s="107" t="n">
        <v>22000</v>
      </c>
    </row>
    <row r="755">
      <c r="A755" s="53" t="n">
        <v>46179</v>
      </c>
      <c r="B755" s="77" t="inlineStr">
        <is>
          <t>Personal Pay</t>
        </is>
      </c>
      <c r="C755" s="109" t="n">
        <v>40000</v>
      </c>
    </row>
    <row r="756">
      <c r="A756" s="105" t="n">
        <v>46179</v>
      </c>
      <c r="B756" s="106" t="inlineStr">
        <is>
          <t>Personal Pay</t>
        </is>
      </c>
      <c r="C756" s="107" t="n">
        <v>35000</v>
      </c>
    </row>
    <row r="757">
      <c r="A757" s="53" t="n">
        <v>46179</v>
      </c>
      <c r="B757" s="77" t="inlineStr">
        <is>
          <t>Personal Pay</t>
        </is>
      </c>
      <c r="C757" s="109" t="n">
        <v>20600</v>
      </c>
    </row>
    <row r="758">
      <c r="A758" s="105" t="n">
        <v>46179</v>
      </c>
      <c r="B758" s="106" t="inlineStr">
        <is>
          <t>Personal Pay</t>
        </is>
      </c>
      <c r="C758" s="107" t="n">
        <v>7500</v>
      </c>
    </row>
    <row r="759">
      <c r="A759" s="53" t="n">
        <v>46179</v>
      </c>
      <c r="B759" s="77" t="inlineStr">
        <is>
          <t>Personal Pay</t>
        </is>
      </c>
      <c r="C759" s="109" t="n">
        <v>13600</v>
      </c>
    </row>
    <row r="760">
      <c r="A760" s="105" t="n">
        <v>46179</v>
      </c>
      <c r="B760" s="106" t="inlineStr">
        <is>
          <t>Personal Pay</t>
        </is>
      </c>
      <c r="C760" s="107" t="n">
        <v>76000</v>
      </c>
    </row>
    <row r="761">
      <c r="A761" s="53" t="n">
        <v>46179</v>
      </c>
      <c r="B761" s="77" t="inlineStr">
        <is>
          <t>Personal Pay</t>
        </is>
      </c>
      <c r="C761" s="109" t="n">
        <v>22000</v>
      </c>
    </row>
    <row r="762">
      <c r="A762" s="105" t="n">
        <v>46179</v>
      </c>
      <c r="B762" s="106" t="inlineStr">
        <is>
          <t>Personal Pay</t>
        </is>
      </c>
      <c r="C762" s="107" t="n">
        <v>10000</v>
      </c>
    </row>
    <row r="763">
      <c r="A763" s="53" t="n">
        <v>46179</v>
      </c>
      <c r="B763" s="77" t="inlineStr">
        <is>
          <t>Personal Pay</t>
        </is>
      </c>
      <c r="C763" s="109" t="n">
        <v>51000</v>
      </c>
    </row>
    <row r="764">
      <c r="A764" s="105" t="n">
        <v>46181</v>
      </c>
      <c r="B764" s="106" t="inlineStr">
        <is>
          <t>Mercado Pago - Facundo</t>
        </is>
      </c>
      <c r="C764" s="107" t="n">
        <v>48800</v>
      </c>
    </row>
    <row r="765">
      <c r="A765" s="53" t="n">
        <v>46181</v>
      </c>
      <c r="B765" s="77" t="inlineStr">
        <is>
          <t>Personal Pay</t>
        </is>
      </c>
      <c r="C765" s="109" t="n">
        <v>25000</v>
      </c>
    </row>
    <row r="766">
      <c r="A766" s="105" t="n">
        <v>46181</v>
      </c>
      <c r="B766" s="106" t="inlineStr">
        <is>
          <t>Mercado Pago</t>
        </is>
      </c>
      <c r="C766" s="107" t="n">
        <v>28000</v>
      </c>
    </row>
    <row r="767">
      <c r="A767" s="53" t="n">
        <v>46182</v>
      </c>
      <c r="B767" s="77" t="inlineStr">
        <is>
          <t>Personal Pay</t>
        </is>
      </c>
      <c r="C767" s="109" t="n">
        <v>44300</v>
      </c>
    </row>
    <row r="768">
      <c r="A768" s="105" t="n">
        <v>46182</v>
      </c>
      <c r="B768" s="106" t="inlineStr">
        <is>
          <t>Personal Pay</t>
        </is>
      </c>
      <c r="C768" s="107" t="n">
        <v>10000</v>
      </c>
    </row>
    <row r="769">
      <c r="A769" s="53" t="n">
        <v>46182</v>
      </c>
      <c r="B769" s="77" t="inlineStr">
        <is>
          <t>Personal Pay</t>
        </is>
      </c>
      <c r="C769" s="109" t="n">
        <v>16000</v>
      </c>
    </row>
    <row r="770">
      <c r="A770" s="105" t="n">
        <v>46182</v>
      </c>
      <c r="B770" s="106" t="inlineStr">
        <is>
          <t>Personal Pay</t>
        </is>
      </c>
      <c r="C770" s="107" t="n">
        <v>16000</v>
      </c>
    </row>
    <row r="771">
      <c r="A771" s="53" t="n">
        <v>46182</v>
      </c>
      <c r="B771" s="77" t="inlineStr">
        <is>
          <t>Personal Pay</t>
        </is>
      </c>
      <c r="C771" s="109" t="n">
        <v>120500</v>
      </c>
    </row>
    <row r="772">
      <c r="A772" s="105" t="n">
        <v>46182</v>
      </c>
      <c r="B772" s="106" t="inlineStr">
        <is>
          <t>Personal Pay</t>
        </is>
      </c>
      <c r="C772" s="107" t="n">
        <v>127500</v>
      </c>
    </row>
    <row r="773">
      <c r="A773" s="53" t="n">
        <v>46183</v>
      </c>
      <c r="B773" s="77" t="inlineStr">
        <is>
          <t>Personal Pay</t>
        </is>
      </c>
      <c r="C773" s="109" t="n">
        <v>16000</v>
      </c>
    </row>
    <row r="774">
      <c r="A774" s="105" t="n">
        <v>46183</v>
      </c>
      <c r="B774" s="106" t="inlineStr">
        <is>
          <t>Personal Pay</t>
        </is>
      </c>
      <c r="C774" s="107" t="n">
        <v>34500</v>
      </c>
    </row>
    <row r="775">
      <c r="A775" s="53" t="n">
        <v>46183</v>
      </c>
      <c r="B775" s="77" t="inlineStr">
        <is>
          <t>Personal Pay</t>
        </is>
      </c>
      <c r="C775" s="109" t="n">
        <v>20000</v>
      </c>
    </row>
    <row r="776">
      <c r="A776" s="105" t="n">
        <v>46183</v>
      </c>
      <c r="B776" s="106" t="inlineStr">
        <is>
          <t>Personal Pay</t>
        </is>
      </c>
      <c r="C776" s="107" t="n">
        <v>26000</v>
      </c>
    </row>
    <row r="777">
      <c r="A777" s="53" t="n">
        <v>46183</v>
      </c>
      <c r="B777" s="77" t="inlineStr">
        <is>
          <t>Personal Pay</t>
        </is>
      </c>
      <c r="C777" s="109" t="n">
        <v>8500</v>
      </c>
    </row>
    <row r="778">
      <c r="A778" s="105" t="n">
        <v>46183</v>
      </c>
      <c r="B778" s="106" t="inlineStr">
        <is>
          <t>Personal Pay</t>
        </is>
      </c>
      <c r="C778" s="107" t="n">
        <v>28700</v>
      </c>
    </row>
    <row r="779">
      <c r="A779" s="53" t="n">
        <v>46183</v>
      </c>
      <c r="B779" s="77" t="inlineStr">
        <is>
          <t>Personal Pay</t>
        </is>
      </c>
      <c r="C779" s="109" t="n">
        <v>20000</v>
      </c>
    </row>
    <row r="780">
      <c r="A780" s="105" t="n">
        <v>46183</v>
      </c>
      <c r="B780" s="106" t="inlineStr">
        <is>
          <t>Personal Pay</t>
        </is>
      </c>
      <c r="C780" s="107" t="n">
        <v>45800</v>
      </c>
    </row>
    <row r="781">
      <c r="A781" s="53" t="n">
        <v>46184</v>
      </c>
      <c r="B781" s="77" t="inlineStr">
        <is>
          <t>Personal Pay  - Facundo</t>
        </is>
      </c>
      <c r="C781" s="109" t="n">
        <v>84500</v>
      </c>
    </row>
    <row r="782">
      <c r="A782" s="105" t="n">
        <v>46184</v>
      </c>
      <c r="B782" s="106" t="inlineStr">
        <is>
          <t>Personal Pay  - Facundo</t>
        </is>
      </c>
      <c r="C782" s="107" t="n">
        <v>20000</v>
      </c>
    </row>
    <row r="783">
      <c r="A783" s="53" t="n">
        <v>46184</v>
      </c>
      <c r="B783" s="77" t="inlineStr">
        <is>
          <t>Personal Pay  - Facundo</t>
        </is>
      </c>
      <c r="C783" s="109" t="n">
        <v>37500</v>
      </c>
    </row>
    <row r="784">
      <c r="A784" s="105" t="n">
        <v>46184</v>
      </c>
      <c r="B784" s="106" t="inlineStr">
        <is>
          <t>Personal Pay  - Facundo</t>
        </is>
      </c>
      <c r="C784" s="107" t="n">
        <v>10000</v>
      </c>
    </row>
    <row r="785">
      <c r="A785" s="53" t="n">
        <v>46184</v>
      </c>
      <c r="B785" s="77" t="inlineStr">
        <is>
          <t>Personal Pay</t>
        </is>
      </c>
      <c r="C785" s="109" t="n">
        <v>30000</v>
      </c>
    </row>
    <row r="786">
      <c r="A786" s="105" t="n">
        <v>46184</v>
      </c>
      <c r="B786" s="106" t="inlineStr">
        <is>
          <t>Personal Pay</t>
        </is>
      </c>
      <c r="C786" s="107" t="n">
        <v>25000</v>
      </c>
    </row>
    <row r="787">
      <c r="A787" s="53" t="n">
        <v>46184</v>
      </c>
      <c r="B787" s="77" t="inlineStr">
        <is>
          <t>Personal Pay</t>
        </is>
      </c>
      <c r="C787" s="109" t="n">
        <v>54000</v>
      </c>
    </row>
    <row r="788">
      <c r="A788" s="105" t="n">
        <v>46184</v>
      </c>
      <c r="B788" s="106" t="inlineStr">
        <is>
          <t>Personal Pay</t>
        </is>
      </c>
      <c r="C788" s="107" t="n">
        <v>30000</v>
      </c>
    </row>
    <row r="789">
      <c r="A789" s="53" t="n">
        <v>46184</v>
      </c>
      <c r="B789" s="77" t="inlineStr">
        <is>
          <t>Personal Pay</t>
        </is>
      </c>
      <c r="C789" s="109" t="n">
        <v>15000</v>
      </c>
    </row>
    <row r="790">
      <c r="A790" s="105" t="n">
        <v>46184</v>
      </c>
      <c r="B790" s="106" t="inlineStr">
        <is>
          <t>Personal Pay</t>
        </is>
      </c>
      <c r="C790" s="107" t="n">
        <v>35000</v>
      </c>
    </row>
    <row r="791">
      <c r="A791" s="53" t="n">
        <v>46184</v>
      </c>
      <c r="B791" s="77" t="inlineStr">
        <is>
          <t>Personal Pay</t>
        </is>
      </c>
      <c r="C791" s="109" t="n">
        <v>38300</v>
      </c>
    </row>
    <row r="792">
      <c r="A792" s="105" t="n">
        <v>46184</v>
      </c>
      <c r="B792" s="106" t="inlineStr">
        <is>
          <t>Personal Pay</t>
        </is>
      </c>
      <c r="C792" s="107" t="n">
        <v>34500</v>
      </c>
    </row>
    <row r="793">
      <c r="A793" s="53" t="n">
        <v>46184</v>
      </c>
      <c r="B793" s="77" t="inlineStr">
        <is>
          <t>Personal Pay</t>
        </is>
      </c>
      <c r="C793" s="109" t="n">
        <v>48500</v>
      </c>
    </row>
    <row r="794">
      <c r="A794" s="105" t="n">
        <v>46185</v>
      </c>
      <c r="B794" s="106" t="inlineStr">
        <is>
          <t>Personal Pay  - Facundo</t>
        </is>
      </c>
      <c r="C794" s="107" t="n">
        <v>15000</v>
      </c>
    </row>
    <row r="795">
      <c r="A795" s="53" t="n">
        <v>46185</v>
      </c>
      <c r="B795" s="77" t="inlineStr">
        <is>
          <t>Personal Pay  - Facundo</t>
        </is>
      </c>
      <c r="C795" s="109" t="n">
        <v>27000</v>
      </c>
    </row>
    <row r="796">
      <c r="A796" s="105" t="n">
        <v>46185</v>
      </c>
      <c r="B796" s="106" t="inlineStr">
        <is>
          <t>Personal Pay  - Facundo</t>
        </is>
      </c>
      <c r="C796" s="107" t="n">
        <v>21000</v>
      </c>
    </row>
    <row r="797">
      <c r="A797" s="53" t="n">
        <v>46185</v>
      </c>
      <c r="B797" s="77" t="inlineStr">
        <is>
          <t>Personal Pay  - Facundo</t>
        </is>
      </c>
      <c r="C797" s="109" t="n">
        <v>28000</v>
      </c>
    </row>
    <row r="798">
      <c r="A798" s="105" t="n">
        <v>46185</v>
      </c>
      <c r="B798" s="106" t="inlineStr">
        <is>
          <t>Personal Pay  - Facundo</t>
        </is>
      </c>
      <c r="C798" s="107" t="n">
        <v>11500</v>
      </c>
    </row>
    <row r="799">
      <c r="A799" s="53" t="n">
        <v>46185</v>
      </c>
      <c r="B799" s="77" t="inlineStr">
        <is>
          <t>Personal Pay  - Facundo</t>
        </is>
      </c>
      <c r="C799" s="109" t="n">
        <v>20000</v>
      </c>
    </row>
    <row r="800">
      <c r="A800" s="105" t="n">
        <v>46185</v>
      </c>
      <c r="B800" s="106" t="inlineStr">
        <is>
          <t>Personal Pay  - Facundo</t>
        </is>
      </c>
      <c r="C800" s="107" t="n">
        <v>5000</v>
      </c>
    </row>
    <row r="801">
      <c r="A801" s="53" t="n">
        <v>46185</v>
      </c>
      <c r="B801" s="77" t="inlineStr">
        <is>
          <t>Personal Pay  - Facundo</t>
        </is>
      </c>
      <c r="C801" s="109" t="n">
        <v>17500</v>
      </c>
    </row>
    <row r="802">
      <c r="A802" s="105" t="n">
        <v>46185</v>
      </c>
      <c r="B802" s="106" t="inlineStr">
        <is>
          <t>Personal Pay  - Facundo</t>
        </is>
      </c>
      <c r="C802" s="107" t="n">
        <v>20000</v>
      </c>
    </row>
    <row r="803">
      <c r="A803" s="53" t="n">
        <v>46186</v>
      </c>
      <c r="B803" s="77" t="inlineStr">
        <is>
          <t>Personal Pay</t>
        </is>
      </c>
      <c r="C803" s="109" t="n">
        <v>6000</v>
      </c>
    </row>
    <row r="804">
      <c r="A804" s="105" t="n">
        <v>46186</v>
      </c>
      <c r="B804" s="106" t="inlineStr">
        <is>
          <t>Personal Pay  - Facundo</t>
        </is>
      </c>
      <c r="C804" s="107" t="n">
        <v>44000</v>
      </c>
    </row>
    <row r="805">
      <c r="A805" s="53" t="n">
        <v>46186</v>
      </c>
      <c r="B805" s="77" t="inlineStr">
        <is>
          <t>Personal Pay  - Facundo</t>
        </is>
      </c>
      <c r="C805" s="109" t="n">
        <v>8500</v>
      </c>
    </row>
    <row r="806">
      <c r="A806" s="105" t="n">
        <v>46186</v>
      </c>
      <c r="B806" s="106" t="inlineStr">
        <is>
          <t>Personal Pay  - Facundo</t>
        </is>
      </c>
      <c r="C806" s="107" t="n">
        <v>10000</v>
      </c>
    </row>
    <row r="807">
      <c r="A807" s="53" t="n">
        <v>46186</v>
      </c>
      <c r="B807" s="77" t="inlineStr">
        <is>
          <t>Personal Pay  - Facundo</t>
        </is>
      </c>
      <c r="C807" s="109" t="n">
        <v>28000</v>
      </c>
    </row>
    <row r="808">
      <c r="A808" s="105" t="n">
        <v>46186</v>
      </c>
      <c r="B808" s="106" t="inlineStr">
        <is>
          <t>Personal Pay  - Facundo</t>
        </is>
      </c>
      <c r="C808" s="107" t="n">
        <v>12500</v>
      </c>
    </row>
    <row r="809">
      <c r="A809" s="53" t="n">
        <v>46186</v>
      </c>
      <c r="B809" s="77" t="inlineStr">
        <is>
          <t>Personal Pay  - Facundo</t>
        </is>
      </c>
      <c r="C809" s="109" t="n">
        <v>26700</v>
      </c>
    </row>
    <row r="810">
      <c r="A810" s="105" t="n">
        <v>46186</v>
      </c>
      <c r="B810" s="106" t="inlineStr">
        <is>
          <t>Personal Pay  - Facundo</t>
        </is>
      </c>
      <c r="C810" s="107" t="n">
        <v>8000</v>
      </c>
    </row>
    <row r="811">
      <c r="A811" s="53" t="n">
        <v>46186</v>
      </c>
      <c r="B811" s="77" t="inlineStr">
        <is>
          <t>Personal Pay  - Facundo</t>
        </is>
      </c>
      <c r="C811" s="109" t="n">
        <v>47000</v>
      </c>
    </row>
    <row r="812">
      <c r="A812" s="105" t="n">
        <v>46186</v>
      </c>
      <c r="B812" s="106" t="inlineStr">
        <is>
          <t>Personal Pay  - Facundo</t>
        </is>
      </c>
      <c r="C812" s="107" t="n">
        <v>33500</v>
      </c>
    </row>
    <row r="813">
      <c r="A813" s="53" t="n">
        <v>46186</v>
      </c>
      <c r="B813" s="77" t="inlineStr">
        <is>
          <t>Personal Pay  - Facundo</t>
        </is>
      </c>
      <c r="C813" s="109" t="n">
        <v>21000</v>
      </c>
    </row>
    <row r="814">
      <c r="A814" s="105" t="n">
        <v>46186</v>
      </c>
      <c r="B814" s="106" t="inlineStr">
        <is>
          <t>Personal Pay  - Facundo</t>
        </is>
      </c>
      <c r="C814" s="107" t="n">
        <v>8000</v>
      </c>
    </row>
    <row r="815">
      <c r="A815" s="53" t="n">
        <v>46186</v>
      </c>
      <c r="B815" s="77" t="inlineStr">
        <is>
          <t>Personal Pay  - Facundo</t>
        </is>
      </c>
      <c r="C815" s="109" t="n">
        <v>43200</v>
      </c>
    </row>
    <row r="816">
      <c r="A816" s="105" t="n">
        <v>46186</v>
      </c>
      <c r="B816" s="106" t="inlineStr">
        <is>
          <t>Personal Pay  - Facundo</t>
        </is>
      </c>
      <c r="C816" s="107" t="n">
        <v>6500</v>
      </c>
    </row>
    <row r="817">
      <c r="A817" s="53" t="n">
        <v>46186</v>
      </c>
      <c r="B817" s="77" t="inlineStr">
        <is>
          <t>Personal Pay  - Facundo</t>
        </is>
      </c>
      <c r="C817" s="109" t="n">
        <v>20000</v>
      </c>
    </row>
    <row r="818">
      <c r="A818" s="105" t="n">
        <v>46188</v>
      </c>
      <c r="B818" s="106" t="inlineStr">
        <is>
          <t>Personal Pay  - Facundo</t>
        </is>
      </c>
      <c r="C818" s="107" t="n">
        <v>20500</v>
      </c>
    </row>
    <row r="819">
      <c r="A819" s="53" t="n">
        <v>46188</v>
      </c>
      <c r="B819" s="77" t="inlineStr">
        <is>
          <t>Personal Pay  - Facundo</t>
        </is>
      </c>
      <c r="C819" s="109" t="n">
        <v>12000</v>
      </c>
    </row>
    <row r="820">
      <c r="A820" s="105" t="n">
        <v>46188</v>
      </c>
      <c r="B820" s="106" t="inlineStr">
        <is>
          <t>Personal Pay  - Facundo</t>
        </is>
      </c>
      <c r="C820" s="107" t="n">
        <v>20000</v>
      </c>
    </row>
    <row r="821">
      <c r="A821" s="53" t="n">
        <v>46188</v>
      </c>
      <c r="B821" s="77" t="inlineStr">
        <is>
          <t>Personal Pay  - Facundo</t>
        </is>
      </c>
      <c r="C821" s="109" t="n">
        <v>5000</v>
      </c>
    </row>
    <row r="822">
      <c r="A822" s="105" t="n">
        <v>46188</v>
      </c>
      <c r="B822" s="106" t="inlineStr">
        <is>
          <t>Personal Pay  - Facundo</t>
        </is>
      </c>
      <c r="C822" s="107" t="n">
        <v>10000</v>
      </c>
    </row>
    <row r="823">
      <c r="A823" s="53" t="n">
        <v>46188</v>
      </c>
      <c r="B823" s="77" t="inlineStr">
        <is>
          <t>Personal Pay  - Facundo</t>
        </is>
      </c>
      <c r="C823" s="109" t="n">
        <v>60000</v>
      </c>
    </row>
    <row r="824">
      <c r="A824" s="105" t="n">
        <v>46188</v>
      </c>
      <c r="B824" s="106" t="inlineStr">
        <is>
          <t>Personal Pay  - Facundo</t>
        </is>
      </c>
      <c r="C824" s="107" t="n">
        <v>10000</v>
      </c>
    </row>
    <row r="825">
      <c r="A825" s="53" t="n">
        <v>46188</v>
      </c>
      <c r="B825" s="77" t="inlineStr">
        <is>
          <t>Personal Pay  - Facundo</t>
        </is>
      </c>
      <c r="C825" s="109" t="n">
        <v>20000</v>
      </c>
    </row>
    <row r="826">
      <c r="A826" s="105" t="n">
        <v>46188</v>
      </c>
      <c r="B826" s="106" t="inlineStr">
        <is>
          <t>Personal Pay  - Facundo</t>
        </is>
      </c>
      <c r="C826" s="107" t="n">
        <v>25000</v>
      </c>
    </row>
    <row r="827">
      <c r="A827" s="53" t="n">
        <v>46189</v>
      </c>
      <c r="B827" s="77" t="inlineStr">
        <is>
          <t>Personal Pay  - Facundo</t>
        </is>
      </c>
      <c r="C827" s="109" t="n">
        <v>45000</v>
      </c>
    </row>
    <row r="828">
      <c r="A828" s="105" t="n">
        <v>46189</v>
      </c>
      <c r="B828" s="106" t="inlineStr">
        <is>
          <t>Personal Pay  - Facundo</t>
        </is>
      </c>
      <c r="C828" s="107" t="n">
        <v>32000</v>
      </c>
    </row>
    <row r="829">
      <c r="A829" s="53" t="n">
        <v>46190</v>
      </c>
      <c r="B829" s="77" t="inlineStr">
        <is>
          <t>Personal Pay  - Facundo</t>
        </is>
      </c>
      <c r="C829" s="109" t="n">
        <v>97500</v>
      </c>
    </row>
    <row r="830">
      <c r="A830" s="105" t="n">
        <v>46190</v>
      </c>
      <c r="B830" s="106" t="inlineStr">
        <is>
          <t>Brubank  -  Facundo</t>
        </is>
      </c>
      <c r="C830" s="107" t="n">
        <v>58700</v>
      </c>
    </row>
    <row r="831">
      <c r="A831" s="53" t="n">
        <v>46191</v>
      </c>
      <c r="B831" s="77" t="inlineStr">
        <is>
          <t>Brubank  -  Facundo</t>
        </is>
      </c>
      <c r="C831" s="109" t="n">
        <v>51000</v>
      </c>
    </row>
    <row r="832">
      <c r="A832" s="105" t="n">
        <v>46191</v>
      </c>
      <c r="B832" s="106" t="inlineStr">
        <is>
          <t>Brubank  -  Facundo</t>
        </is>
      </c>
      <c r="C832" s="107" t="n">
        <v>4500</v>
      </c>
    </row>
    <row r="833">
      <c r="A833" s="53" t="n">
        <v>46191</v>
      </c>
      <c r="B833" s="77" t="inlineStr">
        <is>
          <t>Brubank  -  Facundo</t>
        </is>
      </c>
      <c r="C833" s="109" t="n">
        <v>14200</v>
      </c>
    </row>
    <row r="834">
      <c r="A834" s="105" t="n">
        <v>46191</v>
      </c>
      <c r="B834" s="106" t="inlineStr">
        <is>
          <t>Brubank  -  Facundo</t>
        </is>
      </c>
      <c r="C834" s="107" t="n">
        <v>100000</v>
      </c>
    </row>
    <row r="835">
      <c r="A835" s="53" t="n">
        <v>46191</v>
      </c>
      <c r="B835" s="77" t="inlineStr">
        <is>
          <t>Brubank  -  Facundo</t>
        </is>
      </c>
      <c r="C835" s="109" t="n">
        <v>4500</v>
      </c>
    </row>
    <row r="836">
      <c r="A836" s="105" t="n">
        <v>46191</v>
      </c>
      <c r="B836" s="106" t="inlineStr">
        <is>
          <t>Brubank  -  Facundo</t>
        </is>
      </c>
      <c r="C836" s="107" t="n">
        <v>4500</v>
      </c>
    </row>
    <row r="837">
      <c r="A837" s="53" t="n">
        <v>46191</v>
      </c>
      <c r="B837" s="77" t="inlineStr">
        <is>
          <t>Brubank  -  Facundo</t>
        </is>
      </c>
      <c r="C837" s="109" t="n">
        <v>70000</v>
      </c>
    </row>
    <row r="838">
      <c r="A838" s="105" t="n">
        <v>46192</v>
      </c>
      <c r="B838" s="106" t="inlineStr">
        <is>
          <t>Brubank  -  Facundo</t>
        </is>
      </c>
      <c r="C838" s="107" t="n">
        <v>500</v>
      </c>
    </row>
    <row r="839">
      <c r="A839" s="53" t="n">
        <v>46192</v>
      </c>
      <c r="B839" s="77" t="inlineStr">
        <is>
          <t>Brubank  -  Facundo</t>
        </is>
      </c>
      <c r="C839" s="109" t="n">
        <v>29500</v>
      </c>
    </row>
    <row r="840">
      <c r="A840" s="105" t="n">
        <v>46192</v>
      </c>
      <c r="B840" s="106" t="inlineStr">
        <is>
          <t>Brubank  -  Facundo</t>
        </is>
      </c>
      <c r="C840" s="107" t="n">
        <v>13600</v>
      </c>
    </row>
    <row r="841">
      <c r="A841" s="53" t="n">
        <v>46192</v>
      </c>
      <c r="B841" s="77" t="inlineStr">
        <is>
          <t>Brubank  -  Facundo</t>
        </is>
      </c>
      <c r="C841" s="109" t="n">
        <v>32900</v>
      </c>
    </row>
    <row r="842">
      <c r="A842" s="105" t="n">
        <v>46192</v>
      </c>
      <c r="B842" s="106" t="inlineStr">
        <is>
          <t>Brubank  -  Facundo</t>
        </is>
      </c>
      <c r="C842" s="107" t="n">
        <v>195000</v>
      </c>
    </row>
    <row r="843">
      <c r="A843" s="53" t="n">
        <v>46192</v>
      </c>
      <c r="B843" s="77" t="inlineStr">
        <is>
          <t>Brubank  -  Facundo</t>
        </is>
      </c>
      <c r="C843" s="109" t="n">
        <v>39000</v>
      </c>
    </row>
    <row r="844">
      <c r="A844" s="105" t="n">
        <v>46192</v>
      </c>
      <c r="B844" s="106" t="inlineStr">
        <is>
          <t>Brubank  -  Facundo</t>
        </is>
      </c>
      <c r="C844" s="107" t="n">
        <v>11500</v>
      </c>
    </row>
    <row r="845">
      <c r="A845" s="53" t="n">
        <v>46192</v>
      </c>
      <c r="B845" s="77" t="inlineStr">
        <is>
          <t>Brubank  -  Facundo</t>
        </is>
      </c>
      <c r="C845" s="109" t="n">
        <v>25200</v>
      </c>
    </row>
    <row r="846">
      <c r="A846" s="105" t="n">
        <v>46192</v>
      </c>
      <c r="B846" s="106" t="inlineStr">
        <is>
          <t>Brubank  -  Facundo</t>
        </is>
      </c>
      <c r="C846" s="107" t="n">
        <v>27500</v>
      </c>
    </row>
    <row r="847">
      <c r="A847" s="53" t="n">
        <v>46193</v>
      </c>
      <c r="B847" s="77" t="inlineStr">
        <is>
          <t>Brubank  -  Facundo</t>
        </is>
      </c>
      <c r="C847" s="109" t="n">
        <v>108500</v>
      </c>
    </row>
    <row r="848">
      <c r="A848" s="105" t="n">
        <v>46193</v>
      </c>
      <c r="B848" s="106" t="inlineStr">
        <is>
          <t>Mercado Pago - Facundo</t>
        </is>
      </c>
      <c r="C848" s="107" t="n">
        <v>55500</v>
      </c>
    </row>
    <row r="849">
      <c r="A849" s="53" t="n">
        <v>46193</v>
      </c>
      <c r="B849" s="77" t="inlineStr">
        <is>
          <t>Mercado Pago - Facundo</t>
        </is>
      </c>
      <c r="C849" s="109" t="n">
        <v>18000</v>
      </c>
    </row>
    <row r="850">
      <c r="A850" s="105" t="n">
        <v>46193</v>
      </c>
      <c r="B850" s="106" t="inlineStr">
        <is>
          <t>Mercado Pago - Facundo</t>
        </is>
      </c>
      <c r="C850" s="107" t="n">
        <v>7000</v>
      </c>
    </row>
    <row r="851">
      <c r="A851" s="53" t="n">
        <v>46193</v>
      </c>
      <c r="B851" s="77" t="inlineStr">
        <is>
          <t>Mercado Pago - Facundo</t>
        </is>
      </c>
      <c r="C851" s="109" t="n">
        <v>63000</v>
      </c>
    </row>
    <row r="852">
      <c r="A852" s="105" t="n">
        <v>46193</v>
      </c>
      <c r="B852" s="106" t="inlineStr">
        <is>
          <t>Mercado Pago - Facundo</t>
        </is>
      </c>
      <c r="C852" s="107" t="n">
        <v>43000</v>
      </c>
    </row>
    <row r="853">
      <c r="A853" s="53" t="n">
        <v>46193</v>
      </c>
      <c r="B853" s="77" t="inlineStr">
        <is>
          <t>Mercado Pago - Facundo</t>
        </is>
      </c>
      <c r="C853" s="109" t="n">
        <v>5500</v>
      </c>
    </row>
    <row r="854">
      <c r="A854" s="105" t="n">
        <v>46193</v>
      </c>
      <c r="B854" s="106" t="inlineStr">
        <is>
          <t>Mercado Pago - Facundo</t>
        </is>
      </c>
      <c r="C854" s="107" t="n">
        <v>43500</v>
      </c>
    </row>
    <row r="855">
      <c r="A855" s="53" t="n">
        <v>46193</v>
      </c>
      <c r="B855" s="77" t="inlineStr">
        <is>
          <t>Mercado Pago - Facundo</t>
        </is>
      </c>
      <c r="C855" s="109" t="n">
        <v>24000</v>
      </c>
    </row>
    <row r="856">
      <c r="A856" s="105" t="n">
        <v>46193</v>
      </c>
      <c r="B856" s="106" t="inlineStr">
        <is>
          <t>Mercado Pago - Facundo</t>
        </is>
      </c>
      <c r="C856" s="107" t="n">
        <v>3500</v>
      </c>
    </row>
    <row r="857">
      <c r="A857" s="53" t="n">
        <v>46193</v>
      </c>
      <c r="B857" s="77" t="inlineStr">
        <is>
          <t>Mercado Pago - Facundo</t>
        </is>
      </c>
      <c r="C857" s="109" t="n">
        <v>7000</v>
      </c>
    </row>
    <row r="858">
      <c r="A858" s="105" t="n">
        <v>46193</v>
      </c>
      <c r="B858" s="106" t="inlineStr">
        <is>
          <t>Mercado Pago - Facundo</t>
        </is>
      </c>
      <c r="C858" s="107" t="n">
        <v>48000</v>
      </c>
    </row>
    <row r="859">
      <c r="A859" s="53" t="n">
        <v>46193</v>
      </c>
      <c r="B859" s="77" t="inlineStr">
        <is>
          <t>Mercado Pago - Facundo</t>
        </is>
      </c>
      <c r="C859" s="109" t="n">
        <v>25000</v>
      </c>
    </row>
    <row r="860">
      <c r="A860" s="105" t="n">
        <v>46193</v>
      </c>
      <c r="B860" s="106" t="inlineStr">
        <is>
          <t>Mercado Pago - Facundo</t>
        </is>
      </c>
      <c r="C860" s="107" t="n">
        <v>6000</v>
      </c>
    </row>
    <row r="861">
      <c r="A861" s="53" t="n">
        <v>46193</v>
      </c>
      <c r="B861" s="77" t="inlineStr">
        <is>
          <t>Mercado Pago - Facundo</t>
        </is>
      </c>
      <c r="C861" s="109" t="n">
        <v>4500</v>
      </c>
    </row>
    <row r="862">
      <c r="A862" s="105" t="n">
        <v>46193</v>
      </c>
      <c r="B862" s="106" t="inlineStr">
        <is>
          <t>Mercado Pago - Facundo</t>
        </is>
      </c>
      <c r="C862" s="107" t="n">
        <v>56000</v>
      </c>
    </row>
    <row r="863">
      <c r="A863" s="53" t="n">
        <v>46193</v>
      </c>
      <c r="B863" s="77" t="inlineStr">
        <is>
          <t>Mercado Pago - Facundo</t>
        </is>
      </c>
      <c r="C863" s="109" t="n">
        <v>156000</v>
      </c>
    </row>
    <row r="864">
      <c r="A864" s="105" t="n">
        <v>46193</v>
      </c>
      <c r="B864" s="106" t="inlineStr">
        <is>
          <t>Mercado Pago - Facundo</t>
        </is>
      </c>
      <c r="C864" s="107" t="n">
        <v>125800</v>
      </c>
    </row>
    <row r="865">
      <c r="A865" s="53" t="n">
        <v>46194</v>
      </c>
      <c r="B865" s="77" t="inlineStr">
        <is>
          <t>Brubank  -  Facundo</t>
        </is>
      </c>
      <c r="C865" s="109" t="n">
        <v>132000</v>
      </c>
    </row>
    <row r="866">
      <c r="A866" s="105" t="n">
        <v>46194</v>
      </c>
      <c r="B866" s="106" t="inlineStr">
        <is>
          <t>Mercado Pago - Facundo</t>
        </is>
      </c>
      <c r="C866" s="107" t="n">
        <v>67000</v>
      </c>
    </row>
    <row r="867">
      <c r="A867" s="53" t="n">
        <v>46194</v>
      </c>
      <c r="B867" s="77" t="inlineStr">
        <is>
          <t>Mercado Pago - Facundo</t>
        </is>
      </c>
      <c r="C867" s="109" t="n">
        <v>49000</v>
      </c>
    </row>
    <row r="868">
      <c r="A868" s="105" t="n">
        <v>46194</v>
      </c>
      <c r="B868" s="106" t="inlineStr">
        <is>
          <t>Mercado Pago - Facundo</t>
        </is>
      </c>
      <c r="C868" s="107" t="n">
        <v>8000</v>
      </c>
    </row>
    <row r="869">
      <c r="A869" s="53" t="n">
        <v>46194</v>
      </c>
      <c r="B869" s="77" t="inlineStr">
        <is>
          <t>Mercado Pago - Facundo</t>
        </is>
      </c>
      <c r="C869" s="109" t="n">
        <v>61000</v>
      </c>
    </row>
    <row r="870">
      <c r="A870" s="105" t="n">
        <v>46194</v>
      </c>
      <c r="B870" s="106" t="inlineStr">
        <is>
          <t>Mercado Pago - Facundo</t>
        </is>
      </c>
      <c r="C870" s="107" t="n">
        <v>13000</v>
      </c>
    </row>
    <row r="871">
      <c r="A871" s="53" t="n">
        <v>46194</v>
      </c>
      <c r="B871" s="77" t="inlineStr">
        <is>
          <t>Mercado Pago - Facundo</t>
        </is>
      </c>
      <c r="C871" s="109" t="n">
        <v>47000</v>
      </c>
    </row>
    <row r="872">
      <c r="A872" s="105" t="n">
        <v>46194</v>
      </c>
      <c r="B872" s="106" t="inlineStr">
        <is>
          <t>Mercado Pago - Facundo</t>
        </is>
      </c>
      <c r="C872" s="107" t="n">
        <v>5600</v>
      </c>
    </row>
    <row r="873">
      <c r="A873" s="53" t="n">
        <v>46194</v>
      </c>
      <c r="B873" s="77" t="inlineStr">
        <is>
          <t>Mercado Pago - Facundo</t>
        </is>
      </c>
      <c r="C873" s="109" t="n">
        <v>20000</v>
      </c>
    </row>
    <row r="874">
      <c r="A874" s="105" t="inlineStr">
        <is>
          <t>6/22/0269</t>
        </is>
      </c>
      <c r="B874" s="106" t="inlineStr">
        <is>
          <t>Naranja</t>
        </is>
      </c>
      <c r="C874" s="107" t="n">
        <v>69000</v>
      </c>
    </row>
    <row r="875">
      <c r="A875" s="53" t="n">
        <v>46195</v>
      </c>
      <c r="B875" s="77" t="inlineStr">
        <is>
          <t>Naranja</t>
        </is>
      </c>
      <c r="C875" s="109" t="n">
        <v>69000</v>
      </c>
    </row>
    <row r="876">
      <c r="A876" s="105" t="n">
        <v>46196</v>
      </c>
      <c r="B876" s="106" t="inlineStr">
        <is>
          <t>Naranja</t>
        </is>
      </c>
      <c r="C876" s="107" t="n">
        <v>100000</v>
      </c>
    </row>
    <row r="877">
      <c r="A877" s="53" t="n">
        <v>46196</v>
      </c>
      <c r="B877" s="77" t="inlineStr">
        <is>
          <t>Naranja</t>
        </is>
      </c>
      <c r="C877" s="109" t="n">
        <v>56500</v>
      </c>
    </row>
    <row r="878">
      <c r="A878" s="105" t="n">
        <v>46196</v>
      </c>
      <c r="B878" s="106" t="inlineStr">
        <is>
          <t>Naranja</t>
        </is>
      </c>
      <c r="C878" s="107" t="n">
        <v>48000</v>
      </c>
    </row>
    <row r="879">
      <c r="A879" s="53" t="n">
        <v>46196</v>
      </c>
      <c r="B879" s="77" t="inlineStr">
        <is>
          <t>Naranja</t>
        </is>
      </c>
      <c r="C879" s="109" t="n">
        <v>5000</v>
      </c>
    </row>
    <row r="880">
      <c r="A880" s="105" t="n">
        <v>46197</v>
      </c>
      <c r="B880" s="106" t="inlineStr">
        <is>
          <t>Naranja</t>
        </is>
      </c>
      <c r="C880" s="107" t="n">
        <v>87000</v>
      </c>
    </row>
    <row r="881">
      <c r="A881" s="53" t="n">
        <v>46197</v>
      </c>
      <c r="B881" s="77" t="inlineStr">
        <is>
          <t>Naranja</t>
        </is>
      </c>
      <c r="C881" s="109" t="n">
        <v>58500</v>
      </c>
    </row>
    <row r="882">
      <c r="A882" s="105" t="n">
        <v>46197</v>
      </c>
      <c r="B882" s="106" t="inlineStr">
        <is>
          <t>Naranja</t>
        </is>
      </c>
      <c r="C882" s="107" t="n">
        <v>10800</v>
      </c>
    </row>
    <row r="883">
      <c r="A883" s="53" t="n">
        <v>46197</v>
      </c>
      <c r="B883" s="77" t="inlineStr">
        <is>
          <t>Mercado Pago</t>
        </is>
      </c>
      <c r="C883" s="109" t="n">
        <v>9980</v>
      </c>
    </row>
    <row r="884">
      <c r="A884" s="105" t="n">
        <v>46197</v>
      </c>
      <c r="B884" s="106" t="inlineStr">
        <is>
          <t>Naranja</t>
        </is>
      </c>
      <c r="C884" s="107" t="n">
        <v>30000</v>
      </c>
    </row>
    <row r="885">
      <c r="A885" s="53" t="n">
        <v>46198</v>
      </c>
      <c r="B885" s="77" t="inlineStr">
        <is>
          <t>Naranja</t>
        </is>
      </c>
      <c r="C885" s="109" t="n">
        <v>117500</v>
      </c>
    </row>
    <row r="886">
      <c r="A886" s="105" t="n">
        <v>46199</v>
      </c>
      <c r="B886" s="106" t="inlineStr">
        <is>
          <t>Naranja</t>
        </is>
      </c>
      <c r="C886" s="107" t="n">
        <v>18000</v>
      </c>
    </row>
    <row r="887">
      <c r="A887" s="53" t="n">
        <v>46199</v>
      </c>
      <c r="B887" s="77" t="inlineStr">
        <is>
          <t>Naranja</t>
        </is>
      </c>
      <c r="C887" s="109" t="n">
        <v>15000</v>
      </c>
    </row>
    <row r="888">
      <c r="A888" s="105" t="n">
        <v>46199</v>
      </c>
      <c r="B888" s="106" t="inlineStr">
        <is>
          <t>Naranja</t>
        </is>
      </c>
      <c r="C888" s="107" t="n">
        <v>4000</v>
      </c>
    </row>
    <row r="889">
      <c r="A889" s="53" t="n">
        <v>46200</v>
      </c>
      <c r="B889" s="77" t="inlineStr">
        <is>
          <t>Naranja</t>
        </is>
      </c>
      <c r="C889" s="109" t="n">
        <v>28000</v>
      </c>
    </row>
    <row r="890">
      <c r="A890" s="105" t="n">
        <v>46200</v>
      </c>
      <c r="B890" s="106" t="inlineStr">
        <is>
          <t>Naranja</t>
        </is>
      </c>
      <c r="C890" s="107" t="n">
        <v>4000</v>
      </c>
    </row>
    <row r="891">
      <c r="A891" s="53" t="n">
        <v>46200</v>
      </c>
      <c r="B891" s="77" t="inlineStr">
        <is>
          <t>Naranja</t>
        </is>
      </c>
      <c r="C891" s="109" t="n">
        <v>13000</v>
      </c>
    </row>
    <row r="892">
      <c r="A892" s="105" t="n">
        <v>46200</v>
      </c>
      <c r="B892" s="106" t="inlineStr">
        <is>
          <t>Naranja</t>
        </is>
      </c>
      <c r="C892" s="107" t="n">
        <v>25000</v>
      </c>
    </row>
    <row r="893">
      <c r="A893" s="53" t="n">
        <v>46200</v>
      </c>
      <c r="B893" s="77" t="inlineStr">
        <is>
          <t>Naranja</t>
        </is>
      </c>
      <c r="C893" s="109" t="n">
        <v>21000</v>
      </c>
    </row>
    <row r="894">
      <c r="A894" s="105" t="n">
        <v>46200</v>
      </c>
      <c r="B894" s="106" t="inlineStr">
        <is>
          <t>Naranja</t>
        </is>
      </c>
      <c r="C894" s="107" t="n">
        <v>59500</v>
      </c>
    </row>
    <row r="895">
      <c r="A895" s="53" t="n">
        <v>46200</v>
      </c>
      <c r="B895" s="77" t="inlineStr">
        <is>
          <t>Naranja</t>
        </is>
      </c>
      <c r="C895" s="109" t="n">
        <v>6000</v>
      </c>
    </row>
    <row r="896">
      <c r="A896" s="105" t="n">
        <v>46201</v>
      </c>
      <c r="B896" s="106" t="inlineStr">
        <is>
          <t>Naranja</t>
        </is>
      </c>
      <c r="C896" s="107" t="n">
        <v>6000</v>
      </c>
    </row>
    <row r="897">
      <c r="A897" s="53" t="n">
        <v>46201</v>
      </c>
      <c r="B897" s="77" t="inlineStr">
        <is>
          <t>Naranja</t>
        </is>
      </c>
      <c r="C897" s="109" t="n">
        <v>69000</v>
      </c>
    </row>
    <row r="898">
      <c r="A898" s="105" t="n">
        <v>46201</v>
      </c>
      <c r="B898" s="106" t="inlineStr">
        <is>
          <t>Naranja</t>
        </is>
      </c>
      <c r="C898" s="107" t="n">
        <v>30500</v>
      </c>
    </row>
    <row r="899">
      <c r="A899" s="53" t="n">
        <v>46201</v>
      </c>
      <c r="B899" s="77" t="inlineStr">
        <is>
          <t>Naranja</t>
        </is>
      </c>
      <c r="C899" s="109" t="n">
        <v>2000</v>
      </c>
    </row>
    <row r="900">
      <c r="A900" s="105" t="n">
        <v>46202</v>
      </c>
      <c r="B900" s="106" t="inlineStr">
        <is>
          <t>Naranja</t>
        </is>
      </c>
      <c r="C900" s="107" t="n">
        <v>129800</v>
      </c>
    </row>
    <row r="901">
      <c r="A901" s="53" t="n">
        <v>46203</v>
      </c>
      <c r="B901" s="77" t="inlineStr">
        <is>
          <t>Naranja</t>
        </is>
      </c>
      <c r="C901" s="109" t="n">
        <v>13500</v>
      </c>
    </row>
    <row r="902">
      <c r="A902" s="105" t="n">
        <v>46203</v>
      </c>
      <c r="B902" s="106" t="inlineStr">
        <is>
          <t>Naranja</t>
        </is>
      </c>
      <c r="C902" s="107" t="n">
        <v>95000</v>
      </c>
    </row>
    <row r="903">
      <c r="A903" s="53" t="n">
        <v>46203</v>
      </c>
      <c r="B903" s="77" t="inlineStr">
        <is>
          <t>Naranja</t>
        </is>
      </c>
      <c r="C903" s="109" t="n">
        <v>70000</v>
      </c>
    </row>
    <row r="904">
      <c r="A904" s="105" t="n">
        <v>46203</v>
      </c>
      <c r="B904" s="106" t="inlineStr">
        <is>
          <t>Naranja</t>
        </is>
      </c>
      <c r="C904" s="107" t="n">
        <v>20000</v>
      </c>
    </row>
    <row r="905">
      <c r="A905" s="53" t="n">
        <v>46203</v>
      </c>
      <c r="B905" s="77" t="inlineStr">
        <is>
          <t>Naranja</t>
        </is>
      </c>
      <c r="C905" s="109" t="n">
        <v>11000</v>
      </c>
    </row>
    <row r="906">
      <c r="A906" s="105" t="n">
        <v>46203</v>
      </c>
      <c r="B906" s="106" t="inlineStr">
        <is>
          <t>Naranja</t>
        </is>
      </c>
      <c r="C906" s="107" t="n">
        <v>45000</v>
      </c>
    </row>
    <row r="907">
      <c r="A907" s="53" t="n">
        <v>46203</v>
      </c>
      <c r="B907" s="77" t="inlineStr">
        <is>
          <t>Naranja</t>
        </is>
      </c>
      <c r="C907" s="109" t="n">
        <v>7000</v>
      </c>
    </row>
    <row r="908">
      <c r="A908" s="105" t="n">
        <v>46203</v>
      </c>
      <c r="B908" s="106" t="inlineStr">
        <is>
          <t>Naranja</t>
        </is>
      </c>
      <c r="C908" s="107" t="n">
        <v>87000</v>
      </c>
    </row>
    <row r="909">
      <c r="A909" s="53" t="n">
        <v>46204</v>
      </c>
      <c r="B909" s="77" t="inlineStr">
        <is>
          <t>Mercado Pago</t>
        </is>
      </c>
      <c r="C909" s="109" t="n">
        <v>26700</v>
      </c>
    </row>
    <row r="910">
      <c r="A910" s="105" t="n">
        <v>46204</v>
      </c>
      <c r="B910" s="106" t="inlineStr">
        <is>
          <t>Mercado Pago</t>
        </is>
      </c>
      <c r="C910" s="107" t="n">
        <v>24000</v>
      </c>
    </row>
    <row r="911">
      <c r="A911" s="53" t="n">
        <v>46204</v>
      </c>
      <c r="B911" s="77" t="inlineStr">
        <is>
          <t>Mercado Pago</t>
        </is>
      </c>
      <c r="C911" s="109" t="n">
        <v>61000</v>
      </c>
    </row>
    <row r="912">
      <c r="A912" s="105" t="n">
        <v>46204</v>
      </c>
      <c r="B912" s="106" t="inlineStr">
        <is>
          <t>Mercado Pago</t>
        </is>
      </c>
      <c r="C912" s="107" t="n">
        <v>21000</v>
      </c>
    </row>
    <row r="913">
      <c r="A913" s="53" t="n">
        <v>46204</v>
      </c>
      <c r="B913" s="77" t="inlineStr">
        <is>
          <t>Mercado Pago</t>
        </is>
      </c>
      <c r="C913" s="109" t="n">
        <v>36000</v>
      </c>
    </row>
    <row r="914">
      <c r="A914" s="105" t="n">
        <v>46204</v>
      </c>
      <c r="B914" s="106" t="inlineStr">
        <is>
          <t>Mercado Pago</t>
        </is>
      </c>
      <c r="C914" s="107" t="n">
        <v>60000</v>
      </c>
    </row>
    <row r="915">
      <c r="A915" s="53" t="n">
        <v>46204</v>
      </c>
      <c r="B915" s="77" t="inlineStr">
        <is>
          <t>Mercado Pago</t>
        </is>
      </c>
      <c r="C915" s="109" t="n">
        <v>15000</v>
      </c>
    </row>
    <row r="916">
      <c r="A916" s="105" t="n">
        <v>46204</v>
      </c>
      <c r="B916" s="106" t="inlineStr">
        <is>
          <t>Mercado Pago</t>
        </is>
      </c>
      <c r="C916" s="107" t="n">
        <v>21000</v>
      </c>
    </row>
    <row r="917">
      <c r="A917" s="53" t="n">
        <v>46204</v>
      </c>
      <c r="B917" s="77" t="inlineStr">
        <is>
          <t>Mercado Pago</t>
        </is>
      </c>
      <c r="C917" s="109" t="n">
        <v>60500</v>
      </c>
    </row>
    <row r="918">
      <c r="A918" s="105" t="n">
        <v>46205</v>
      </c>
      <c r="B918" s="106" t="inlineStr">
        <is>
          <t>Mercado Pago</t>
        </is>
      </c>
      <c r="C918" s="107" t="n">
        <v>13000</v>
      </c>
    </row>
    <row r="919">
      <c r="A919" s="53" t="n">
        <v>46205</v>
      </c>
      <c r="B919" s="77" t="inlineStr">
        <is>
          <t>Mercado Pago</t>
        </is>
      </c>
      <c r="C919" s="109" t="n">
        <v>54000</v>
      </c>
    </row>
    <row r="920">
      <c r="A920" s="105" t="n">
        <v>46205</v>
      </c>
      <c r="B920" s="106" t="inlineStr">
        <is>
          <t>Mercado Pago</t>
        </is>
      </c>
      <c r="C920" s="107" t="n">
        <v>14000</v>
      </c>
    </row>
    <row r="921">
      <c r="A921" s="53" t="n">
        <v>46205</v>
      </c>
      <c r="B921" s="77" t="inlineStr">
        <is>
          <t>Mercado Pago</t>
        </is>
      </c>
      <c r="C921" s="109" t="n">
        <v>11000</v>
      </c>
    </row>
    <row r="922">
      <c r="A922" s="105" t="n">
        <v>46205</v>
      </c>
      <c r="B922" s="106" t="inlineStr">
        <is>
          <t>Mercado Pago</t>
        </is>
      </c>
      <c r="C922" s="107" t="n">
        <v>7500</v>
      </c>
    </row>
    <row r="923">
      <c r="A923" s="53" t="n">
        <v>46205</v>
      </c>
      <c r="B923" s="77" t="inlineStr">
        <is>
          <t>Mercado Pago</t>
        </is>
      </c>
      <c r="C923" s="109" t="n">
        <v>95000</v>
      </c>
    </row>
    <row r="924">
      <c r="A924" s="105" t="n">
        <v>46205</v>
      </c>
      <c r="B924" s="106" t="inlineStr">
        <is>
          <t>Mercado Pago</t>
        </is>
      </c>
      <c r="C924" s="107" t="n">
        <v>4000</v>
      </c>
    </row>
    <row r="925">
      <c r="A925" s="53" t="n">
        <v>46205</v>
      </c>
      <c r="B925" s="77" t="inlineStr">
        <is>
          <t>Mercado Pago</t>
        </is>
      </c>
      <c r="C925" s="109" t="n">
        <v>9000</v>
      </c>
    </row>
    <row r="926">
      <c r="A926" s="105" t="n">
        <v>46205</v>
      </c>
      <c r="B926" s="106" t="inlineStr">
        <is>
          <t>Mercado Pago</t>
        </is>
      </c>
      <c r="C926" s="107" t="n">
        <v>70000</v>
      </c>
    </row>
    <row r="927">
      <c r="A927" s="53" t="n">
        <v>46207</v>
      </c>
      <c r="B927" s="77" t="inlineStr">
        <is>
          <t>Mercado Pago</t>
        </is>
      </c>
      <c r="C927" s="109" t="n">
        <v>28500</v>
      </c>
    </row>
    <row r="928">
      <c r="A928" s="105" t="n">
        <v>46207</v>
      </c>
      <c r="B928" s="106" t="inlineStr">
        <is>
          <t>Mercado Pago</t>
        </is>
      </c>
      <c r="C928" s="107" t="n">
        <v>31000</v>
      </c>
    </row>
    <row r="929">
      <c r="A929" s="53" t="n">
        <v>46207</v>
      </c>
      <c r="B929" s="77" t="inlineStr">
        <is>
          <t>Mercado Pago</t>
        </is>
      </c>
      <c r="C929" s="109" t="n">
        <v>6000</v>
      </c>
    </row>
    <row r="930">
      <c r="A930" s="105" t="n">
        <v>46207</v>
      </c>
      <c r="B930" s="106" t="inlineStr">
        <is>
          <t>Mercado Pago</t>
        </is>
      </c>
      <c r="C930" s="107" t="n">
        <v>11000</v>
      </c>
    </row>
    <row r="931">
      <c r="A931" s="53" t="n">
        <v>46207</v>
      </c>
      <c r="B931" s="77" t="inlineStr">
        <is>
          <t>Mercado Pago</t>
        </is>
      </c>
      <c r="C931" s="109" t="n">
        <v>15000</v>
      </c>
    </row>
    <row r="932">
      <c r="A932" s="105" t="n">
        <v>46207</v>
      </c>
      <c r="B932" s="106" t="inlineStr">
        <is>
          <t>Mercado Pago</t>
        </is>
      </c>
      <c r="C932" s="107" t="n">
        <v>93500</v>
      </c>
    </row>
    <row r="933">
      <c r="A933" s="53" t="n">
        <v>46207</v>
      </c>
      <c r="B933" s="77" t="inlineStr">
        <is>
          <t>Mercado Pago</t>
        </is>
      </c>
      <c r="C933" s="109" t="n">
        <v>35000</v>
      </c>
    </row>
    <row r="934">
      <c r="A934" s="105" t="n">
        <v>46207</v>
      </c>
      <c r="B934" s="106" t="inlineStr">
        <is>
          <t>Mercado Pago</t>
        </is>
      </c>
      <c r="C934" s="107" t="n">
        <v>20000</v>
      </c>
    </row>
    <row r="935">
      <c r="A935" s="53" t="n">
        <v>46207</v>
      </c>
      <c r="B935" s="77" t="inlineStr">
        <is>
          <t>Mercado Pago</t>
        </is>
      </c>
      <c r="C935" s="109" t="n">
        <v>15000</v>
      </c>
    </row>
    <row r="936">
      <c r="A936" s="105" t="n">
        <v>46207</v>
      </c>
      <c r="B936" s="106" t="inlineStr">
        <is>
          <t>Mercado Pago</t>
        </is>
      </c>
      <c r="C936" s="107" t="n">
        <v>44500</v>
      </c>
    </row>
    <row r="937">
      <c r="A937" s="53" t="n">
        <v>46207</v>
      </c>
      <c r="B937" s="77" t="inlineStr">
        <is>
          <t>Personal Pay</t>
        </is>
      </c>
      <c r="C937" s="109" t="n">
        <v>30000</v>
      </c>
    </row>
    <row r="938">
      <c r="A938" s="105" t="n">
        <v>46207</v>
      </c>
      <c r="B938" s="106" t="inlineStr">
        <is>
          <t>Personal Pay</t>
        </is>
      </c>
      <c r="C938" s="107" t="n">
        <v>33500</v>
      </c>
    </row>
    <row r="939">
      <c r="A939" s="53" t="n">
        <v>46207</v>
      </c>
      <c r="B939" s="77" t="inlineStr">
        <is>
          <t>Mercado Pago</t>
        </is>
      </c>
      <c r="C939" s="109" t="n">
        <v>4000</v>
      </c>
    </row>
    <row r="940">
      <c r="A940" s="105" t="n">
        <v>46207</v>
      </c>
      <c r="B940" s="106" t="inlineStr">
        <is>
          <t>Mercado Pago</t>
        </is>
      </c>
      <c r="C940" s="107" t="n">
        <v>18500</v>
      </c>
    </row>
    <row r="941">
      <c r="A941" s="53" t="n">
        <v>46207</v>
      </c>
      <c r="B941" s="77" t="inlineStr">
        <is>
          <t>Mercado Pago</t>
        </is>
      </c>
      <c r="C941" s="109" t="n">
        <v>33000</v>
      </c>
    </row>
    <row r="942">
      <c r="A942" s="105" t="n">
        <v>46207</v>
      </c>
      <c r="B942" s="106" t="inlineStr">
        <is>
          <t>Mercado Pago</t>
        </is>
      </c>
      <c r="C942" s="107" t="n">
        <v>40000</v>
      </c>
    </row>
    <row r="943">
      <c r="A943" s="53" t="n">
        <v>46207</v>
      </c>
      <c r="B943" s="77" t="inlineStr">
        <is>
          <t>Mercado Pago</t>
        </is>
      </c>
      <c r="C943" s="109" t="n">
        <v>70000</v>
      </c>
    </row>
    <row r="944">
      <c r="A944" s="105" t="n">
        <v>46207</v>
      </c>
      <c r="B944" s="106" t="inlineStr">
        <is>
          <t>Mercado Pago</t>
        </is>
      </c>
      <c r="C944" s="107" t="n">
        <v>40000</v>
      </c>
    </row>
    <row r="945">
      <c r="A945" s="53" t="n">
        <v>46207</v>
      </c>
      <c r="B945" s="77" t="inlineStr">
        <is>
          <t>Mercado Pago</t>
        </is>
      </c>
      <c r="C945" s="109" t="n">
        <v>62200</v>
      </c>
    </row>
    <row r="946">
      <c r="A946" s="105" t="n">
        <v>46207</v>
      </c>
      <c r="B946" s="106" t="inlineStr">
        <is>
          <t>Mercado Pago</t>
        </is>
      </c>
      <c r="C946" s="107" t="n">
        <v>5500</v>
      </c>
    </row>
    <row r="947">
      <c r="A947" s="53" t="n">
        <v>46207</v>
      </c>
      <c r="B947" s="77" t="inlineStr">
        <is>
          <t>Mercado Pago</t>
        </is>
      </c>
      <c r="C947" s="109" t="n">
        <v>30000</v>
      </c>
    </row>
    <row r="948">
      <c r="A948" s="105" t="n">
        <v>46207</v>
      </c>
      <c r="B948" s="106" t="inlineStr">
        <is>
          <t>Mercado Pago</t>
        </is>
      </c>
      <c r="C948" s="107" t="n">
        <v>16423</v>
      </c>
    </row>
    <row r="949">
      <c r="A949" s="53" t="n">
        <v>46207</v>
      </c>
      <c r="B949" s="77" t="inlineStr">
        <is>
          <t>Personal Pay</t>
        </is>
      </c>
      <c r="C949" s="109" t="n">
        <v>91500</v>
      </c>
    </row>
    <row r="950">
      <c r="A950" s="105" t="n">
        <v>46207</v>
      </c>
      <c r="B950" s="106" t="inlineStr">
        <is>
          <t>Personal Pay</t>
        </is>
      </c>
      <c r="C950" s="107" t="n">
        <v>13500</v>
      </c>
    </row>
    <row r="951">
      <c r="A951" s="53" t="n">
        <v>46207</v>
      </c>
      <c r="B951" s="77" t="inlineStr">
        <is>
          <t>Personal Pay</t>
        </is>
      </c>
      <c r="C951" s="109" t="n">
        <v>10000</v>
      </c>
    </row>
    <row r="952">
      <c r="A952" s="105" t="n">
        <v>46207</v>
      </c>
      <c r="B952" s="106" t="inlineStr">
        <is>
          <t>Personal Pay</t>
        </is>
      </c>
      <c r="C952" s="107" t="n">
        <v>10000</v>
      </c>
    </row>
    <row r="953">
      <c r="A953" s="53" t="n">
        <v>46207</v>
      </c>
      <c r="B953" s="77" t="inlineStr">
        <is>
          <t>Personal Pay</t>
        </is>
      </c>
      <c r="C953" s="109" t="n">
        <v>6800</v>
      </c>
    </row>
    <row r="954">
      <c r="A954" s="105" t="n">
        <v>46207</v>
      </c>
      <c r="B954" s="106" t="inlineStr">
        <is>
          <t>Personal Pay</t>
        </is>
      </c>
      <c r="C954" s="107" t="n">
        <v>8500</v>
      </c>
    </row>
    <row r="955">
      <c r="A955" s="53" t="n">
        <v>46207</v>
      </c>
      <c r="B955" s="77" t="inlineStr">
        <is>
          <t>Personal Pay</t>
        </is>
      </c>
      <c r="C955" s="109" t="n">
        <v>32500</v>
      </c>
    </row>
    <row r="956">
      <c r="A956" s="105" t="n">
        <v>46207</v>
      </c>
      <c r="B956" s="106" t="inlineStr">
        <is>
          <t>Personal Pay</t>
        </is>
      </c>
      <c r="C956" s="107" t="n">
        <v>15500</v>
      </c>
    </row>
    <row r="957">
      <c r="A957" s="53" t="n">
        <v>46207</v>
      </c>
      <c r="B957" s="77" t="inlineStr">
        <is>
          <t>Personal Pay</t>
        </is>
      </c>
      <c r="C957" s="109" t="n">
        <v>14000</v>
      </c>
    </row>
    <row r="958">
      <c r="A958" s="105" t="n">
        <v>46207</v>
      </c>
      <c r="B958" s="106" t="inlineStr">
        <is>
          <t>Personal Pay</t>
        </is>
      </c>
      <c r="C958" s="107" t="n">
        <v>10000</v>
      </c>
    </row>
    <row r="959">
      <c r="A959" s="53" t="n">
        <v>46208</v>
      </c>
      <c r="B959" s="77" t="inlineStr">
        <is>
          <t>Personal Pay</t>
        </is>
      </c>
      <c r="C959" s="109" t="n">
        <v>8600</v>
      </c>
    </row>
    <row r="960">
      <c r="A960" s="105" t="n">
        <v>46208</v>
      </c>
      <c r="B960" s="106" t="inlineStr">
        <is>
          <t>Personal Pay</t>
        </is>
      </c>
      <c r="C960" s="107" t="n">
        <v>64500</v>
      </c>
    </row>
    <row r="961">
      <c r="A961" s="77" t="inlineStr">
        <is>
          <t>´6/07/26</t>
        </is>
      </c>
      <c r="B961" s="77" t="inlineStr">
        <is>
          <t>Personal Pay</t>
        </is>
      </c>
      <c r="C961" s="109" t="n">
        <v>252500</v>
      </c>
    </row>
    <row r="962">
      <c r="A962" s="105" t="n">
        <v>46209</v>
      </c>
      <c r="B962" s="106" t="inlineStr">
        <is>
          <t>Personal Pay</t>
        </is>
      </c>
      <c r="C962" s="107" t="n">
        <v>252500</v>
      </c>
    </row>
    <row r="963">
      <c r="A963" s="53" t="n">
        <v>46210</v>
      </c>
      <c r="B963" s="77" t="inlineStr">
        <is>
          <t>Personal Pay</t>
        </is>
      </c>
      <c r="C963" s="109" t="n">
        <v>12000</v>
      </c>
    </row>
    <row r="964">
      <c r="A964" s="105" t="n">
        <v>46210</v>
      </c>
      <c r="B964" s="106" t="inlineStr">
        <is>
          <t>Personal Pay</t>
        </is>
      </c>
      <c r="C964" s="107" t="n">
        <v>100000</v>
      </c>
    </row>
    <row r="965">
      <c r="A965" s="53" t="n">
        <v>46210</v>
      </c>
      <c r="B965" s="77" t="inlineStr">
        <is>
          <t>Personal Pay</t>
        </is>
      </c>
      <c r="C965" s="109" t="n">
        <v>149000</v>
      </c>
    </row>
    <row r="966">
      <c r="A966" s="105" t="n">
        <v>46210</v>
      </c>
      <c r="B966" s="106" t="inlineStr">
        <is>
          <t>Personal Pay</t>
        </is>
      </c>
      <c r="C966" s="107" t="n">
        <v>95000</v>
      </c>
    </row>
    <row r="967">
      <c r="A967" s="53" t="n">
        <v>46210</v>
      </c>
      <c r="B967" s="77" t="inlineStr">
        <is>
          <t>Personal Pay</t>
        </is>
      </c>
      <c r="C967" s="109" t="n">
        <v>17500</v>
      </c>
    </row>
    <row r="968">
      <c r="A968" s="105" t="n">
        <v>46210</v>
      </c>
      <c r="B968" s="106" t="inlineStr">
        <is>
          <t>Personal Pay</t>
        </is>
      </c>
      <c r="C968" s="107" t="n">
        <v>25500</v>
      </c>
    </row>
    <row r="969">
      <c r="A969" s="53" t="n">
        <v>46210</v>
      </c>
      <c r="B969" s="77" t="inlineStr">
        <is>
          <t>Personal Pay</t>
        </is>
      </c>
      <c r="C969" s="109" t="n">
        <v>48000</v>
      </c>
    </row>
    <row r="970">
      <c r="A970" s="105" t="n">
        <v>46210</v>
      </c>
      <c r="B970" s="106" t="inlineStr">
        <is>
          <t>Personal Pay</t>
        </is>
      </c>
      <c r="C970" s="107" t="n">
        <v>10000</v>
      </c>
    </row>
    <row r="971">
      <c r="A971" s="53" t="n">
        <v>46210</v>
      </c>
      <c r="B971" s="77" t="inlineStr">
        <is>
          <t>Personal Pay</t>
        </is>
      </c>
      <c r="C971" s="109" t="n">
        <v>46400</v>
      </c>
    </row>
    <row r="972">
      <c r="A972" s="105" t="n">
        <v>46210</v>
      </c>
      <c r="B972" s="106" t="inlineStr">
        <is>
          <t>Personal Pay</t>
        </is>
      </c>
      <c r="C972" s="107" t="n">
        <v>39000</v>
      </c>
    </row>
    <row r="973">
      <c r="A973" s="53" t="n">
        <v>46211</v>
      </c>
      <c r="B973" s="77" t="inlineStr">
        <is>
          <t>Naranja</t>
        </is>
      </c>
      <c r="C973" s="109" t="n">
        <v>15000</v>
      </c>
    </row>
    <row r="974">
      <c r="A974" s="105" t="n">
        <v>46211</v>
      </c>
      <c r="B974" s="106" t="inlineStr">
        <is>
          <t>Naranja</t>
        </is>
      </c>
      <c r="C974" s="107" t="n">
        <v>10000</v>
      </c>
    </row>
    <row r="975">
      <c r="A975" s="53" t="n">
        <v>46211</v>
      </c>
      <c r="B975" s="77" t="inlineStr">
        <is>
          <t>Naranja</t>
        </is>
      </c>
      <c r="C975" s="109" t="n">
        <v>5500</v>
      </c>
    </row>
    <row r="976">
      <c r="A976" s="105" t="n">
        <v>46211</v>
      </c>
      <c r="B976" s="106" t="inlineStr">
        <is>
          <t>Naranja</t>
        </is>
      </c>
      <c r="C976" s="107" t="n">
        <v>24500</v>
      </c>
    </row>
    <row r="977">
      <c r="A977" s="53" t="n">
        <v>46211</v>
      </c>
      <c r="B977" s="77" t="inlineStr">
        <is>
          <t>Naranja</t>
        </is>
      </c>
      <c r="C977" s="109" t="n">
        <v>50000</v>
      </c>
    </row>
    <row r="978">
      <c r="A978" s="105" t="n">
        <v>46211</v>
      </c>
      <c r="B978" s="106" t="inlineStr">
        <is>
          <t>Naranja</t>
        </is>
      </c>
      <c r="C978" s="107" t="n">
        <v>10000</v>
      </c>
    </row>
    <row r="979">
      <c r="A979" s="53" t="n">
        <v>46211</v>
      </c>
      <c r="B979" s="77" t="inlineStr">
        <is>
          <t>Naranja</t>
        </is>
      </c>
      <c r="C979" s="109" t="n">
        <v>34000</v>
      </c>
    </row>
    <row r="980">
      <c r="A980" s="105" t="n">
        <v>46211</v>
      </c>
      <c r="B980" s="106" t="inlineStr">
        <is>
          <t>Naranja</t>
        </is>
      </c>
      <c r="C980" s="107" t="n">
        <v>5000</v>
      </c>
    </row>
    <row r="981">
      <c r="A981" s="53" t="n">
        <v>46211</v>
      </c>
      <c r="B981" s="77" t="inlineStr">
        <is>
          <t>Naranja</t>
        </is>
      </c>
      <c r="C981" s="109" t="n">
        <v>5000</v>
      </c>
    </row>
    <row r="982">
      <c r="A982" s="105" t="n">
        <v>46211</v>
      </c>
      <c r="B982" s="106" t="inlineStr">
        <is>
          <t>Naranja</t>
        </is>
      </c>
      <c r="C982" s="107" t="n">
        <v>18000</v>
      </c>
    </row>
    <row r="983">
      <c r="A983" s="53" t="n">
        <v>46213</v>
      </c>
      <c r="B983" s="77" t="inlineStr">
        <is>
          <t>Naranja</t>
        </is>
      </c>
      <c r="C983" s="109" t="n">
        <v>61000</v>
      </c>
    </row>
    <row r="984">
      <c r="A984" s="105" t="n">
        <v>46213</v>
      </c>
      <c r="B984" s="106" t="inlineStr">
        <is>
          <t>Naranja</t>
        </is>
      </c>
      <c r="C984" s="107" t="n">
        <v>47000</v>
      </c>
    </row>
    <row r="985">
      <c r="A985" s="53" t="n">
        <v>46213</v>
      </c>
      <c r="B985" s="77" t="inlineStr">
        <is>
          <t>Naranja</t>
        </is>
      </c>
      <c r="C985" s="109" t="n">
        <v>25000</v>
      </c>
    </row>
    <row r="986">
      <c r="A986" s="105" t="n">
        <v>46213</v>
      </c>
      <c r="B986" s="106" t="inlineStr">
        <is>
          <t>Naranja</t>
        </is>
      </c>
      <c r="C986" s="107" t="n">
        <v>17500</v>
      </c>
    </row>
    <row r="987">
      <c r="A987" s="53" t="n">
        <v>46213</v>
      </c>
      <c r="B987" s="77" t="inlineStr">
        <is>
          <t>Naranja</t>
        </is>
      </c>
      <c r="C987" s="109" t="n">
        <v>17000</v>
      </c>
    </row>
    <row r="988">
      <c r="A988" s="105" t="n">
        <v>46213</v>
      </c>
      <c r="B988" s="106" t="inlineStr">
        <is>
          <t>Naranja</t>
        </is>
      </c>
      <c r="C988" s="107" t="n">
        <v>20000</v>
      </c>
    </row>
    <row r="989">
      <c r="A989" s="53" t="n">
        <v>46213</v>
      </c>
      <c r="B989" s="77" t="inlineStr">
        <is>
          <t>Naranja</t>
        </is>
      </c>
      <c r="C989" s="109" t="n">
        <v>17000</v>
      </c>
    </row>
    <row r="990">
      <c r="A990" s="105" t="n">
        <v>46213</v>
      </c>
      <c r="B990" s="106" t="inlineStr">
        <is>
          <t>Naranja</t>
        </is>
      </c>
      <c r="C990" s="107" t="n">
        <v>18000</v>
      </c>
    </row>
    <row r="991">
      <c r="A991" s="53" t="n">
        <v>46213</v>
      </c>
      <c r="B991" s="77" t="inlineStr">
        <is>
          <t>Naranja</t>
        </is>
      </c>
      <c r="C991" s="109" t="n">
        <v>19500</v>
      </c>
    </row>
    <row r="992">
      <c r="A992" s="105" t="n">
        <v>46213</v>
      </c>
      <c r="B992" s="106" t="inlineStr">
        <is>
          <t>Naranja</t>
        </is>
      </c>
      <c r="C992" s="107" t="n">
        <v>16000</v>
      </c>
    </row>
    <row r="993">
      <c r="A993" s="53" t="n">
        <v>46213</v>
      </c>
      <c r="B993" s="77" t="inlineStr">
        <is>
          <t>Naranja</t>
        </is>
      </c>
      <c r="C993" s="109" t="n">
        <v>10000</v>
      </c>
    </row>
    <row r="994">
      <c r="A994" s="105" t="n">
        <v>46213</v>
      </c>
      <c r="B994" s="106" t="inlineStr">
        <is>
          <t>Naranja</t>
        </is>
      </c>
      <c r="C994" s="107" t="n">
        <v>25400</v>
      </c>
    </row>
    <row r="995">
      <c r="A995" s="53" t="n">
        <v>46213</v>
      </c>
      <c r="B995" s="77" t="inlineStr">
        <is>
          <t>Naranja</t>
        </is>
      </c>
      <c r="C995" s="109" t="n">
        <v>17000</v>
      </c>
    </row>
    <row r="996">
      <c r="A996" s="105" t="n">
        <v>46213</v>
      </c>
      <c r="B996" s="106" t="inlineStr">
        <is>
          <t>Naranja</t>
        </is>
      </c>
      <c r="C996" s="107" t="n">
        <v>34000</v>
      </c>
    </row>
    <row r="997">
      <c r="A997" s="53" t="n">
        <v>46213</v>
      </c>
      <c r="B997" s="77" t="inlineStr">
        <is>
          <t>Naranja</t>
        </is>
      </c>
      <c r="C997" s="109" t="n">
        <v>26000</v>
      </c>
    </row>
    <row r="998">
      <c r="A998" s="105" t="n">
        <v>46213</v>
      </c>
      <c r="B998" s="106" t="inlineStr">
        <is>
          <t>Naranja</t>
        </is>
      </c>
      <c r="C998" s="107" t="n">
        <v>13500</v>
      </c>
    </row>
    <row r="999">
      <c r="A999" s="53" t="n">
        <v>46214</v>
      </c>
      <c r="B999" s="77" t="inlineStr">
        <is>
          <t>Naranja</t>
        </is>
      </c>
      <c r="C999" s="109" t="n">
        <v>10000</v>
      </c>
    </row>
    <row r="1000">
      <c r="A1000" s="105" t="n">
        <v>46214</v>
      </c>
      <c r="B1000" s="106" t="inlineStr">
        <is>
          <t>Naranja</t>
        </is>
      </c>
      <c r="C1000" s="107" t="n">
        <v>36000</v>
      </c>
    </row>
    <row r="1001">
      <c r="A1001" s="53" t="n">
        <v>46214</v>
      </c>
      <c r="B1001" s="77" t="inlineStr">
        <is>
          <t>Naranja</t>
        </is>
      </c>
      <c r="C1001" s="109" t="n">
        <v>18500</v>
      </c>
    </row>
    <row r="1002">
      <c r="A1002" s="105" t="n">
        <v>46214</v>
      </c>
      <c r="B1002" s="106" t="inlineStr">
        <is>
          <t>Naranja</t>
        </is>
      </c>
      <c r="C1002" s="107" t="n">
        <v>16500</v>
      </c>
    </row>
    <row r="1003">
      <c r="A1003" s="53" t="n">
        <v>46214</v>
      </c>
      <c r="B1003" s="77" t="inlineStr">
        <is>
          <t>Naranja</t>
        </is>
      </c>
      <c r="C1003" s="109" t="n">
        <v>27000</v>
      </c>
    </row>
    <row r="1004">
      <c r="A1004" s="105" t="n">
        <v>46214</v>
      </c>
      <c r="B1004" s="106" t="inlineStr">
        <is>
          <t>Naranja</t>
        </is>
      </c>
      <c r="C1004" s="107" t="n">
        <v>38000</v>
      </c>
    </row>
    <row r="1005">
      <c r="A1005" s="53" t="n">
        <v>46214</v>
      </c>
      <c r="B1005" s="77" t="inlineStr">
        <is>
          <t>Naranja</t>
        </is>
      </c>
      <c r="C1005" s="109" t="n">
        <v>15500</v>
      </c>
    </row>
    <row r="1006">
      <c r="A1006" s="105" t="n">
        <v>46214</v>
      </c>
      <c r="B1006" s="106" t="inlineStr">
        <is>
          <t>Naranja</t>
        </is>
      </c>
      <c r="C1006" s="107" t="n">
        <v>28000</v>
      </c>
    </row>
    <row r="1007">
      <c r="A1007" s="53" t="n">
        <v>46214</v>
      </c>
      <c r="B1007" s="77" t="inlineStr">
        <is>
          <t>Naranja</t>
        </is>
      </c>
      <c r="C1007" s="109" t="n">
        <v>97000</v>
      </c>
    </row>
    <row r="1008">
      <c r="A1008" s="105" t="n">
        <v>46214</v>
      </c>
      <c r="B1008" s="106" t="inlineStr">
        <is>
          <t>Naranja</t>
        </is>
      </c>
      <c r="C1008" s="107" t="n">
        <v>9000</v>
      </c>
    </row>
    <row r="1009">
      <c r="A1009" s="53" t="n">
        <v>46214</v>
      </c>
      <c r="B1009" s="77" t="inlineStr">
        <is>
          <t>Naranja</t>
        </is>
      </c>
      <c r="C1009" s="109" t="n">
        <v>26600</v>
      </c>
    </row>
    <row r="1010">
      <c r="A1010" s="105" t="n">
        <v>46214</v>
      </c>
      <c r="B1010" s="106" t="inlineStr">
        <is>
          <t>Naranja</t>
        </is>
      </c>
      <c r="C1010" s="107" t="n">
        <v>10000</v>
      </c>
    </row>
    <row r="1011">
      <c r="A1011" s="53" t="n">
        <v>46216</v>
      </c>
      <c r="B1011" s="77" t="inlineStr">
        <is>
          <t>Naranja</t>
        </is>
      </c>
      <c r="C1011" s="109" t="n">
        <v>27000</v>
      </c>
    </row>
    <row r="1012">
      <c r="A1012" s="105" t="n">
        <v>46216</v>
      </c>
      <c r="B1012" s="106" t="inlineStr">
        <is>
          <t>Naranja</t>
        </is>
      </c>
      <c r="C1012" s="107" t="n">
        <v>22000</v>
      </c>
    </row>
    <row r="1013">
      <c r="A1013" s="53" t="n">
        <v>46216</v>
      </c>
      <c r="B1013" s="77" t="inlineStr">
        <is>
          <t>Naranja</t>
        </is>
      </c>
      <c r="C1013" s="109" t="n">
        <v>80500</v>
      </c>
    </row>
    <row r="1014">
      <c r="A1014" s="105" t="n">
        <v>46216</v>
      </c>
      <c r="B1014" s="106" t="inlineStr">
        <is>
          <t>Naranja</t>
        </is>
      </c>
      <c r="C1014" s="107" t="n">
        <v>17000</v>
      </c>
    </row>
    <row r="1015">
      <c r="A1015" s="53" t="n">
        <v>46216</v>
      </c>
      <c r="B1015" s="77" t="inlineStr">
        <is>
          <t>Naranja</t>
        </is>
      </c>
      <c r="C1015" s="109" t="n">
        <v>11500</v>
      </c>
    </row>
    <row r="1016">
      <c r="A1016" s="105" t="n">
        <v>46216</v>
      </c>
      <c r="B1016" s="106" t="inlineStr">
        <is>
          <t>Naranja</t>
        </is>
      </c>
      <c r="C1016" s="107" t="n">
        <v>17500</v>
      </c>
    </row>
    <row r="1017">
      <c r="A1017" s="53" t="n">
        <v>46216</v>
      </c>
      <c r="B1017" s="77" t="inlineStr">
        <is>
          <t>Naranja</t>
        </is>
      </c>
      <c r="C1017" s="109" t="n">
        <v>63000</v>
      </c>
    </row>
    <row r="1018">
      <c r="A1018" s="105" t="n">
        <v>46216</v>
      </c>
      <c r="B1018" s="106" t="inlineStr">
        <is>
          <t>Naranja</t>
        </is>
      </c>
      <c r="C1018" s="107" t="n">
        <v>33000</v>
      </c>
    </row>
    <row r="1019">
      <c r="A1019" s="53" t="n">
        <v>46216</v>
      </c>
      <c r="B1019" s="77" t="inlineStr">
        <is>
          <t>Naranja</t>
        </is>
      </c>
      <c r="C1019" s="109" t="n">
        <v>7000</v>
      </c>
    </row>
    <row r="1020">
      <c r="A1020" s="105" t="n">
        <v>46216</v>
      </c>
      <c r="B1020" s="106" t="inlineStr">
        <is>
          <t>Naranja</t>
        </is>
      </c>
      <c r="C1020" s="107" t="n">
        <v>18500</v>
      </c>
    </row>
    <row r="1021">
      <c r="A1021" s="53" t="n">
        <v>46216</v>
      </c>
      <c r="B1021" s="77" t="inlineStr">
        <is>
          <t>Naranja</t>
        </is>
      </c>
      <c r="C1021" s="109" t="n">
        <v>26000</v>
      </c>
    </row>
    <row r="1022">
      <c r="A1022" s="105" t="n">
        <v>46218</v>
      </c>
      <c r="B1022" s="106" t="inlineStr">
        <is>
          <t>Naranja</t>
        </is>
      </c>
      <c r="C1022" s="107" t="n">
        <v>35000</v>
      </c>
    </row>
    <row r="1023">
      <c r="A1023" s="53" t="n">
        <v>46218</v>
      </c>
      <c r="B1023" s="77" t="inlineStr">
        <is>
          <t>Naranja</t>
        </is>
      </c>
      <c r="C1023" s="109" t="n">
        <v>17000</v>
      </c>
    </row>
    <row r="1024">
      <c r="A1024" s="105" t="n">
        <v>46218</v>
      </c>
      <c r="B1024" s="106" t="inlineStr">
        <is>
          <t>Naranja</t>
        </is>
      </c>
      <c r="C1024" s="107" t="n">
        <v>16500</v>
      </c>
    </row>
    <row r="1025">
      <c r="A1025" s="53" t="n">
        <v>46218</v>
      </c>
      <c r="B1025" s="77" t="inlineStr">
        <is>
          <t>Naranja</t>
        </is>
      </c>
      <c r="C1025" s="109" t="n">
        <v>140000</v>
      </c>
    </row>
    <row r="1026">
      <c r="A1026" s="105" t="n">
        <v>46218</v>
      </c>
      <c r="B1026" s="106" t="inlineStr">
        <is>
          <t>Naranja</t>
        </is>
      </c>
      <c r="C1026" s="107" t="n">
        <v>5000</v>
      </c>
    </row>
    <row r="1027">
      <c r="A1027" s="53" t="n">
        <v>46218</v>
      </c>
      <c r="B1027" s="77" t="inlineStr">
        <is>
          <t>Naranja</t>
        </is>
      </c>
      <c r="C1027" s="109" t="n">
        <v>350</v>
      </c>
    </row>
    <row r="1028">
      <c r="A1028" s="105" t="n">
        <v>46218</v>
      </c>
      <c r="B1028" s="106" t="inlineStr">
        <is>
          <t>Naranja</t>
        </is>
      </c>
      <c r="C1028" s="107" t="n">
        <v>2500</v>
      </c>
    </row>
    <row r="1029">
      <c r="A1029" s="53" t="n">
        <v>46218</v>
      </c>
      <c r="B1029" s="77" t="inlineStr">
        <is>
          <t>Naranja</t>
        </is>
      </c>
      <c r="C1029" s="109" t="n">
        <v>5300</v>
      </c>
    </row>
    <row r="1030">
      <c r="A1030" s="105" t="n">
        <v>46218</v>
      </c>
      <c r="B1030" s="106" t="inlineStr">
        <is>
          <t>Naranja</t>
        </is>
      </c>
      <c r="C1030" s="107" t="n">
        <v>248300</v>
      </c>
    </row>
    <row r="1031">
      <c r="A1031" s="53" t="n">
        <v>46219</v>
      </c>
      <c r="B1031" s="77" t="inlineStr">
        <is>
          <t>Naranja</t>
        </is>
      </c>
      <c r="C1031" s="109" t="n">
        <v>85500</v>
      </c>
    </row>
    <row r="1032">
      <c r="A1032" s="105" t="n">
        <v>46219</v>
      </c>
      <c r="B1032" s="106" t="inlineStr">
        <is>
          <t>Naranja</t>
        </is>
      </c>
      <c r="C1032" s="107" t="n">
        <v>20000</v>
      </c>
    </row>
    <row r="1033">
      <c r="A1033" s="53" t="n">
        <v>46219</v>
      </c>
      <c r="B1033" s="77" t="inlineStr">
        <is>
          <t>Naranja</t>
        </is>
      </c>
      <c r="C1033" s="109" t="n">
        <v>83100</v>
      </c>
    </row>
    <row r="1034">
      <c r="A1034" s="105" t="n">
        <v>46219</v>
      </c>
      <c r="B1034" s="106" t="inlineStr">
        <is>
          <t>Naranja</t>
        </is>
      </c>
      <c r="C1034" s="107" t="n">
        <v>105500</v>
      </c>
    </row>
    <row r="1035">
      <c r="A1035" s="53" t="n">
        <v>46219</v>
      </c>
      <c r="B1035" s="77" t="inlineStr">
        <is>
          <t>Naranja</t>
        </is>
      </c>
      <c r="C1035" s="109" t="n">
        <v>10000</v>
      </c>
    </row>
    <row r="1036">
      <c r="A1036" s="105" t="n">
        <v>46219</v>
      </c>
      <c r="B1036" s="106" t="inlineStr">
        <is>
          <t>Naranja</t>
        </is>
      </c>
      <c r="C1036" s="107" t="n">
        <v>27660</v>
      </c>
    </row>
    <row r="1037">
      <c r="A1037" s="53" t="n">
        <v>46219</v>
      </c>
      <c r="B1037" s="77" t="inlineStr">
        <is>
          <t>Naranja</t>
        </is>
      </c>
      <c r="C1037" s="109" t="n">
        <v>10000</v>
      </c>
    </row>
    <row r="1038">
      <c r="A1038" s="105" t="n">
        <v>46219</v>
      </c>
      <c r="B1038" s="106" t="inlineStr">
        <is>
          <t>Naranja</t>
        </is>
      </c>
      <c r="C1038" s="107" t="n">
        <v>18000</v>
      </c>
    </row>
    <row r="1039">
      <c r="A1039" s="53" t="n">
        <v>46219</v>
      </c>
      <c r="B1039" s="77" t="inlineStr">
        <is>
          <t>Naranja</t>
        </is>
      </c>
      <c r="C1039" s="109" t="n">
        <v>25000</v>
      </c>
    </row>
    <row r="1040">
      <c r="A1040" s="105" t="n">
        <v>46219</v>
      </c>
      <c r="B1040" s="106" t="inlineStr">
        <is>
          <t>Naranja</t>
        </is>
      </c>
      <c r="C1040" s="107" t="n">
        <v>8500</v>
      </c>
    </row>
    <row r="1041">
      <c r="A1041" s="53" t="n">
        <v>46220</v>
      </c>
      <c r="B1041" s="77" t="inlineStr">
        <is>
          <t>Personal Pay</t>
        </is>
      </c>
      <c r="C1041" s="109" t="n">
        <v>82000</v>
      </c>
    </row>
    <row r="1042">
      <c r="A1042" s="105" t="n">
        <v>46220</v>
      </c>
      <c r="B1042" s="106" t="inlineStr">
        <is>
          <t>Personal Pay</t>
        </is>
      </c>
      <c r="C1042" s="107" t="n">
        <v>2000</v>
      </c>
    </row>
    <row r="1043">
      <c r="A1043" s="53" t="n">
        <v>46221</v>
      </c>
      <c r="B1043" s="77" t="inlineStr">
        <is>
          <t>Personal Pay</t>
        </is>
      </c>
      <c r="C1043" s="109" t="n">
        <v>224500</v>
      </c>
    </row>
    <row r="1044">
      <c r="A1044" s="105" t="n">
        <v>46223</v>
      </c>
      <c r="B1044" s="106" t="inlineStr">
        <is>
          <t>Personal Pay  - Facundo</t>
        </is>
      </c>
      <c r="C1044" s="107" t="n">
        <v>152000</v>
      </c>
    </row>
    <row r="1045">
      <c r="A1045" s="53" t="n">
        <v>46223</v>
      </c>
      <c r="B1045" s="77" t="inlineStr">
        <is>
          <t>Personal Pay  - Facundo</t>
        </is>
      </c>
      <c r="C1045" s="109" t="n">
        <v>20500</v>
      </c>
    </row>
    <row r="1046">
      <c r="A1046" s="105" t="n">
        <v>46223</v>
      </c>
      <c r="B1046" s="106" t="inlineStr">
        <is>
          <t>Personal Pay  - Facundo</t>
        </is>
      </c>
      <c r="C1046" s="107" t="n">
        <v>20000</v>
      </c>
    </row>
    <row r="1047">
      <c r="A1047" s="53" t="n">
        <v>46223</v>
      </c>
      <c r="B1047" s="77" t="inlineStr">
        <is>
          <t>Personal Pay  - Facundo</t>
        </is>
      </c>
      <c r="C1047" s="109" t="n">
        <v>30000</v>
      </c>
    </row>
    <row r="1048">
      <c r="A1048" s="105" t="n">
        <v>46223</v>
      </c>
      <c r="B1048" s="106" t="inlineStr">
        <is>
          <t>Personal Pay  - Facundo</t>
        </is>
      </c>
      <c r="C1048" s="107" t="n">
        <v>30000</v>
      </c>
    </row>
    <row r="1049">
      <c r="A1049" s="53" t="n">
        <v>46223</v>
      </c>
      <c r="B1049" s="77" t="inlineStr">
        <is>
          <t>Personal Pay  - Facundo</t>
        </is>
      </c>
      <c r="C1049" s="109" t="n">
        <v>20000</v>
      </c>
    </row>
    <row r="1050">
      <c r="A1050" s="105" t="n">
        <v>46223</v>
      </c>
      <c r="B1050" s="106" t="inlineStr">
        <is>
          <t>Personal Pay  - Facundo</t>
        </is>
      </c>
      <c r="C1050" s="107" t="n">
        <v>7500</v>
      </c>
    </row>
    <row r="1051">
      <c r="A1051" s="53" t="n">
        <v>46223</v>
      </c>
      <c r="B1051" s="77" t="inlineStr">
        <is>
          <t>Personal Pay  - Facundo</t>
        </is>
      </c>
      <c r="C1051" s="109" t="n">
        <v>40000</v>
      </c>
    </row>
    <row r="1052">
      <c r="A1052" s="105" t="n">
        <v>46223</v>
      </c>
      <c r="B1052" s="106" t="inlineStr">
        <is>
          <t>Personal Pay  - Facundo</t>
        </is>
      </c>
      <c r="C1052" s="107" t="n">
        <v>17500</v>
      </c>
    </row>
    <row r="1053">
      <c r="A1053" s="53" t="n">
        <v>46223</v>
      </c>
      <c r="B1053" s="77" t="inlineStr">
        <is>
          <t>Personal Pay  - Facundo</t>
        </is>
      </c>
      <c r="C1053" s="109" t="n">
        <v>15000</v>
      </c>
    </row>
    <row r="1054">
      <c r="A1054" s="105" t="n">
        <v>46224</v>
      </c>
      <c r="B1054" s="106" t="inlineStr">
        <is>
          <t>Personal Pay  - Facundo</t>
        </is>
      </c>
      <c r="C1054" s="107" t="n">
        <v>140000</v>
      </c>
    </row>
    <row r="1055">
      <c r="A1055" s="53" t="n">
        <v>46800</v>
      </c>
      <c r="B1055" s="77" t="inlineStr">
        <is>
          <t>Personal Pay  - Facundo</t>
        </is>
      </c>
      <c r="C1055" s="53" t="n">
        <v>46226</v>
      </c>
    </row>
    <row r="1056">
      <c r="A1056" s="105" t="n">
        <v>46226</v>
      </c>
      <c r="B1056" s="106" t="inlineStr">
        <is>
          <t>Personal Pay  - Facundo</t>
        </is>
      </c>
      <c r="C1056" s="105" t="n">
        <v>46800</v>
      </c>
    </row>
    <row r="1057">
      <c r="A1057" s="53" t="n">
        <v>46226</v>
      </c>
      <c r="B1057" s="77" t="inlineStr">
        <is>
          <t>Personal Pay  - Facundo</t>
        </is>
      </c>
      <c r="C1057" s="53" t="n">
        <v>16000</v>
      </c>
    </row>
    <row r="1058">
      <c r="A1058" s="105" t="n">
        <v>46226</v>
      </c>
      <c r="B1058" s="106" t="inlineStr">
        <is>
          <t>Mercado Pago - Facundo</t>
        </is>
      </c>
      <c r="C1058" s="105" t="n">
        <v>70000</v>
      </c>
    </row>
    <row r="1059">
      <c r="A1059" s="53" t="n">
        <v>46227</v>
      </c>
      <c r="B1059" s="77" t="inlineStr">
        <is>
          <t>Personal Pay  - Facundo</t>
        </is>
      </c>
      <c r="C1059" s="53" t="n">
        <v>78000</v>
      </c>
    </row>
    <row r="1060">
      <c r="A1060" s="105" t="n">
        <v>46228</v>
      </c>
      <c r="B1060" s="106" t="inlineStr">
        <is>
          <t>Personal Pay  - Facundo</t>
        </is>
      </c>
      <c r="C1060" s="105" t="n">
        <v>60000</v>
      </c>
    </row>
    <row r="1061">
      <c r="A1061" s="53" t="n">
        <v>46228</v>
      </c>
      <c r="B1061" s="77" t="inlineStr">
        <is>
          <t>Personal Pay  - Facundo</t>
        </is>
      </c>
      <c r="C1061" s="53" t="n">
        <v>5000</v>
      </c>
    </row>
    <row r="1062">
      <c r="A1062" s="105" t="n">
        <v>46228</v>
      </c>
      <c r="B1062" s="106" t="inlineStr">
        <is>
          <t>Personal Pay  - Facundo</t>
        </is>
      </c>
      <c r="C1062" s="105" t="n">
        <v>147000</v>
      </c>
    </row>
    <row r="1063">
      <c r="A1063" s="53" t="n">
        <v>46230</v>
      </c>
      <c r="B1063" s="77" t="inlineStr">
        <is>
          <t>Personal Pay  - Facundo</t>
        </is>
      </c>
      <c r="C1063" s="53" t="n">
        <v>107000</v>
      </c>
    </row>
    <row r="1064">
      <c r="A1064" s="105" t="n">
        <v>46229</v>
      </c>
      <c r="B1064" s="106" t="inlineStr">
        <is>
          <t>Personal Pay  - Facundo</t>
        </is>
      </c>
      <c r="C1064" s="105" t="n">
        <v>107000</v>
      </c>
    </row>
    <row r="1065">
      <c r="A1065" s="53" t="n">
        <v>46229</v>
      </c>
      <c r="B1065" s="77" t="inlineStr">
        <is>
          <t>Personal Pay  - Facundo</t>
        </is>
      </c>
      <c r="C1065" s="53" t="n">
        <v>28000</v>
      </c>
    </row>
    <row r="1066">
      <c r="A1066" s="105" t="n">
        <v>46229</v>
      </c>
      <c r="B1066" s="106" t="inlineStr">
        <is>
          <t>Personal Pay  - Facundo</t>
        </is>
      </c>
      <c r="C1066" s="105" t="n">
        <v>22000</v>
      </c>
    </row>
    <row r="1067">
      <c r="A1067" s="53" t="n">
        <v>46234</v>
      </c>
      <c r="B1067" s="77" t="inlineStr">
        <is>
          <t>Brubank  -  Facundo</t>
        </is>
      </c>
      <c r="C1067" s="53" t="n">
        <v>102500</v>
      </c>
    </row>
    <row r="1068">
      <c r="A1068" s="105" t="n">
        <v>46235</v>
      </c>
      <c r="B1068" s="106" t="inlineStr">
        <is>
          <t>Brubank  -  Facundo</t>
        </is>
      </c>
      <c r="C1068" s="105" t="n">
        <v>73000</v>
      </c>
    </row>
    <row r="1069">
      <c r="A1069" s="53" t="n">
        <v>46235</v>
      </c>
      <c r="B1069" s="77" t="inlineStr">
        <is>
          <t>Brubank  -  Facundo</t>
        </is>
      </c>
      <c r="C1069" s="53" t="n">
        <v>129000</v>
      </c>
    </row>
    <row r="1070">
      <c r="A1070" s="105" t="n">
        <v>46235</v>
      </c>
      <c r="B1070" s="106" t="inlineStr">
        <is>
          <t>Brubank  -  Facundo</t>
        </is>
      </c>
      <c r="C1070" s="105" t="n">
        <v>183000</v>
      </c>
    </row>
    <row r="1071">
      <c r="A1071" s="53" t="n">
        <v>46235</v>
      </c>
      <c r="B1071" s="77" t="inlineStr">
        <is>
          <t>Brubank  -  Facundo</t>
        </is>
      </c>
      <c r="C1071" s="53" t="n">
        <v>10000</v>
      </c>
    </row>
    <row r="1072">
      <c r="A1072" s="105" t="n">
        <v>46237</v>
      </c>
      <c r="B1072" s="106" t="inlineStr">
        <is>
          <t>Brubank  -  Facundo</t>
        </is>
      </c>
      <c r="C1072" s="105" t="n">
        <v>189000</v>
      </c>
    </row>
    <row r="1073">
      <c r="A1073" s="53" t="n">
        <v>46237</v>
      </c>
      <c r="B1073" s="77" t="inlineStr">
        <is>
          <t>Brubank  -  Facundo</t>
        </is>
      </c>
      <c r="C1073" s="53" t="n">
        <v>79200</v>
      </c>
    </row>
    <row r="1074">
      <c r="A1074" s="105" t="n">
        <v>46237</v>
      </c>
      <c r="B1074" s="106" t="inlineStr">
        <is>
          <t>Brubank  -  Facundo</t>
        </is>
      </c>
      <c r="C1074" s="105" t="n">
        <v>47000</v>
      </c>
    </row>
    <row r="1075">
      <c r="A1075" s="53" t="n">
        <v>46238</v>
      </c>
      <c r="B1075" s="77" t="inlineStr">
        <is>
          <t>Brubank  -  Facundo</t>
        </is>
      </c>
      <c r="C1075" s="53" t="n">
        <v>310000</v>
      </c>
    </row>
    <row r="1076">
      <c r="A1076" s="105" t="n">
        <v>46239</v>
      </c>
      <c r="B1076" s="106" t="inlineStr">
        <is>
          <t>Brubank  -  Facundo</t>
        </is>
      </c>
      <c r="C1076" s="105" t="n">
        <v>60000</v>
      </c>
    </row>
    <row r="1077">
      <c r="A1077" s="53" t="n">
        <v>46239</v>
      </c>
      <c r="B1077" s="77" t="inlineStr">
        <is>
          <t>Mercado Pago</t>
        </is>
      </c>
      <c r="C1077" s="53" t="n">
        <v>12000</v>
      </c>
    </row>
    <row r="1078">
      <c r="A1078" s="105" t="n">
        <v>46240</v>
      </c>
      <c r="B1078" s="106" t="inlineStr">
        <is>
          <t>Mercado Pago</t>
        </is>
      </c>
      <c r="C1078" s="105" t="n">
        <v>126500</v>
      </c>
    </row>
    <row r="1079">
      <c r="A1079" s="53" t="n">
        <v>46241</v>
      </c>
      <c r="B1079" s="77" t="inlineStr">
        <is>
          <t>Mercado Pago</t>
        </is>
      </c>
      <c r="C1079" s="53" t="n">
        <v>71500</v>
      </c>
    </row>
    <row r="1080">
      <c r="A1080" s="105" t="n">
        <v>46242</v>
      </c>
      <c r="B1080" s="106" t="inlineStr">
        <is>
          <t>Mercado Pago</t>
        </is>
      </c>
      <c r="C1080" s="105" t="n">
        <v>45500</v>
      </c>
    </row>
    <row r="1081">
      <c r="A1081" s="53" t="n">
        <v>46242</v>
      </c>
      <c r="B1081" s="77" t="inlineStr">
        <is>
          <t>Mercado Pago</t>
        </is>
      </c>
      <c r="C1081" s="53" t="n">
        <v>27000</v>
      </c>
    </row>
    <row r="1082">
      <c r="A1082" s="105" t="n">
        <v>46242</v>
      </c>
      <c r="B1082" s="106" t="inlineStr">
        <is>
          <t>Mercado Pago</t>
        </is>
      </c>
      <c r="C1082" s="105" t="n">
        <v>5500</v>
      </c>
    </row>
    <row r="1083">
      <c r="A1083" s="53" t="n">
        <v>46242</v>
      </c>
      <c r="B1083" s="77" t="inlineStr">
        <is>
          <t>Mercado Pago</t>
        </is>
      </c>
      <c r="C1083" s="53" t="n">
        <v>29000</v>
      </c>
    </row>
    <row r="1084">
      <c r="A1084" s="105" t="n">
        <v>46242</v>
      </c>
      <c r="B1084" s="106" t="inlineStr">
        <is>
          <t>Mercado Pago</t>
        </is>
      </c>
      <c r="C1084" s="105" t="n">
        <v>10000</v>
      </c>
    </row>
    <row r="1085">
      <c r="A1085" s="53" t="n">
        <v>46244</v>
      </c>
      <c r="B1085" s="77" t="inlineStr">
        <is>
          <t>Mercado Pago</t>
        </is>
      </c>
      <c r="C1085" s="53" t="n">
        <v>69000</v>
      </c>
    </row>
    <row r="1086">
      <c r="A1086" s="105" t="n">
        <v>46244</v>
      </c>
      <c r="B1086" s="106" t="inlineStr">
        <is>
          <t>Mercado Pago</t>
        </is>
      </c>
      <c r="C1086" s="105" t="n">
        <v>12000</v>
      </c>
    </row>
    <row r="1087">
      <c r="A1087" s="53" t="n">
        <v>46244</v>
      </c>
      <c r="B1087" s="77" t="inlineStr">
        <is>
          <t>Mercado Pago</t>
        </is>
      </c>
      <c r="C1087" s="53" t="n">
        <v>79000</v>
      </c>
    </row>
    <row r="1088">
      <c r="A1088" s="105" t="n">
        <v>46245</v>
      </c>
      <c r="B1088" s="106" t="inlineStr">
        <is>
          <t>Mercado Pago</t>
        </is>
      </c>
      <c r="C1088" s="105" t="n">
        <v>286000</v>
      </c>
    </row>
    <row r="1089">
      <c r="A1089" s="53" t="n">
        <v>46246</v>
      </c>
      <c r="B1089" s="77" t="inlineStr">
        <is>
          <t>Mercado Pago</t>
        </is>
      </c>
      <c r="C1089" s="53" t="n">
        <v>39000</v>
      </c>
    </row>
    <row r="1090">
      <c r="A1090" s="105" t="n">
        <v>46246</v>
      </c>
      <c r="B1090" s="106" t="inlineStr">
        <is>
          <t>Mercado Pago</t>
        </is>
      </c>
      <c r="C1090" s="105" t="n">
        <v>49500</v>
      </c>
    </row>
    <row r="1091">
      <c r="A1091" s="53" t="n">
        <v>46246</v>
      </c>
      <c r="B1091" s="77" t="inlineStr">
        <is>
          <t>Mercado Pago</t>
        </is>
      </c>
      <c r="C1091" s="53" t="n">
        <v>30000</v>
      </c>
    </row>
    <row r="1092">
      <c r="A1092" s="105" t="n">
        <v>46247</v>
      </c>
      <c r="B1092" s="106" t="inlineStr">
        <is>
          <t>Mercado Pago</t>
        </is>
      </c>
      <c r="C1092" s="105" t="n">
        <v>173200</v>
      </c>
    </row>
    <row r="1093">
      <c r="A1093" s="53" t="n">
        <v>46248</v>
      </c>
      <c r="B1093" s="77" t="inlineStr">
        <is>
          <t>Mercado Pago</t>
        </is>
      </c>
      <c r="C1093" s="53" t="n">
        <v>40000</v>
      </c>
    </row>
    <row r="1094">
      <c r="A1094" s="105" t="n">
        <v>46248</v>
      </c>
      <c r="B1094" s="106" t="inlineStr">
        <is>
          <t>Mercado Pago</t>
        </is>
      </c>
      <c r="C1094" s="105" t="n">
        <v>14000</v>
      </c>
    </row>
    <row r="1095">
      <c r="A1095" s="53" t="n">
        <v>46248</v>
      </c>
      <c r="B1095" s="77" t="inlineStr">
        <is>
          <t>Mercado Pago</t>
        </is>
      </c>
      <c r="C1095" s="53" t="n">
        <v>14000</v>
      </c>
    </row>
    <row r="1096">
      <c r="A1096" s="105" t="n">
        <v>46248</v>
      </c>
      <c r="B1096" s="106" t="inlineStr">
        <is>
          <t>Mercado Pago</t>
        </is>
      </c>
      <c r="C1096" s="105" t="n">
        <v>16500</v>
      </c>
    </row>
    <row r="1097">
      <c r="A1097" s="53" t="n">
        <v>46248</v>
      </c>
      <c r="B1097" s="77" t="inlineStr">
        <is>
          <t>Personal Pay</t>
        </is>
      </c>
      <c r="C1097" s="53" t="n">
        <v>7000</v>
      </c>
    </row>
    <row r="1098">
      <c r="A1098" s="105" t="n">
        <v>46248</v>
      </c>
      <c r="B1098" s="106" t="inlineStr">
        <is>
          <t>Personal Pay</t>
        </is>
      </c>
      <c r="C1098" s="105" t="n">
        <v>10000</v>
      </c>
    </row>
    <row r="1099">
      <c r="A1099" s="53" t="n">
        <v>46248</v>
      </c>
      <c r="B1099" s="77" t="inlineStr">
        <is>
          <t>Personal Pay</t>
        </is>
      </c>
      <c r="C1099" s="53" t="n">
        <v>25000</v>
      </c>
    </row>
    <row r="1100">
      <c r="A1100" s="105" t="n">
        <v>46248</v>
      </c>
      <c r="B1100" s="106" t="inlineStr">
        <is>
          <t>Personal Pay</t>
        </is>
      </c>
      <c r="C1100" s="105" t="n">
        <v>3500</v>
      </c>
    </row>
    <row r="1101">
      <c r="A1101" s="53" t="n">
        <v>46248</v>
      </c>
      <c r="B1101" s="77" t="inlineStr">
        <is>
          <t>Personal Pay</t>
        </is>
      </c>
      <c r="C1101" s="53" t="n">
        <v>3500</v>
      </c>
    </row>
    <row r="1102">
      <c r="A1102" s="105" t="n">
        <v>46248</v>
      </c>
      <c r="B1102" s="106" t="inlineStr">
        <is>
          <t>Personal Pay</t>
        </is>
      </c>
      <c r="C1102" s="105" t="n">
        <v>20000</v>
      </c>
    </row>
    <row r="1103">
      <c r="A1103" s="53" t="n">
        <v>46249</v>
      </c>
      <c r="B1103" s="77" t="inlineStr">
        <is>
          <t>Personal Pay</t>
        </is>
      </c>
      <c r="C1103" s="53" t="n">
        <v>610900</v>
      </c>
    </row>
    <row r="1104">
      <c r="A1104" s="105" t="n">
        <v>46250</v>
      </c>
      <c r="B1104" s="106" t="inlineStr">
        <is>
          <t>Personal Pay</t>
        </is>
      </c>
      <c r="C1104" s="105" t="n">
        <v>12000</v>
      </c>
    </row>
    <row r="1105">
      <c r="A1105" s="53" t="n">
        <v>46250</v>
      </c>
      <c r="B1105" s="77" t="inlineStr">
        <is>
          <t>Personal Pay</t>
        </is>
      </c>
      <c r="C1105" s="53" t="n">
        <v>33500</v>
      </c>
    </row>
    <row r="1106">
      <c r="A1106" s="105" t="n">
        <v>46250</v>
      </c>
      <c r="B1106" s="106" t="inlineStr">
        <is>
          <t>Personal Pay</t>
        </is>
      </c>
      <c r="C1106" s="105" t="n">
        <v>7000</v>
      </c>
    </row>
    <row r="1107">
      <c r="A1107" s="53" t="n">
        <v>46252</v>
      </c>
      <c r="B1107" s="77" t="inlineStr">
        <is>
          <t>Personal Pay</t>
        </is>
      </c>
      <c r="C1107" s="53" t="n">
        <v>49000</v>
      </c>
    </row>
    <row r="1108">
      <c r="A1108" s="105" t="n">
        <v>46252</v>
      </c>
      <c r="B1108" s="106" t="inlineStr">
        <is>
          <t>Naranja</t>
        </is>
      </c>
      <c r="C1108" s="105" t="n">
        <v>15500</v>
      </c>
    </row>
    <row r="1109">
      <c r="A1109" s="53" t="n">
        <v>46254</v>
      </c>
      <c r="B1109" s="77" t="inlineStr">
        <is>
          <t>Naranja</t>
        </is>
      </c>
      <c r="C1109" s="53" t="n">
        <v>255000</v>
      </c>
    </row>
    <row r="1110">
      <c r="A1110" s="105" t="n">
        <v>46255</v>
      </c>
      <c r="B1110" s="106" t="inlineStr">
        <is>
          <t>Naranja</t>
        </is>
      </c>
      <c r="C1110" s="105" t="n">
        <v>42000</v>
      </c>
    </row>
    <row r="1111">
      <c r="A1111" s="53" t="n">
        <v>46256</v>
      </c>
      <c r="B1111" s="77" t="inlineStr">
        <is>
          <t>Naranja</t>
        </is>
      </c>
      <c r="C1111" s="53" t="n">
        <v>6000</v>
      </c>
    </row>
    <row r="1112">
      <c r="A1112" s="105" t="n">
        <v>46256</v>
      </c>
      <c r="B1112" s="106" t="inlineStr">
        <is>
          <t>Naranja</t>
        </is>
      </c>
      <c r="C1112" s="105" t="n">
        <v>38000</v>
      </c>
    </row>
    <row r="1113">
      <c r="A1113" s="53" t="n">
        <v>46256</v>
      </c>
      <c r="B1113" s="77" t="inlineStr">
        <is>
          <t>Naranja</t>
        </is>
      </c>
      <c r="C1113" s="53" t="n">
        <v>28000</v>
      </c>
    </row>
    <row r="1114">
      <c r="A1114" s="105" t="n">
        <v>46256</v>
      </c>
      <c r="B1114" s="106" t="inlineStr">
        <is>
          <t>Naranja</t>
        </is>
      </c>
      <c r="C1114" s="105" t="n">
        <v>1000</v>
      </c>
    </row>
    <row r="1115">
      <c r="A1115" s="53" t="n">
        <v>46256</v>
      </c>
      <c r="B1115" s="77" t="inlineStr">
        <is>
          <t>Naranja</t>
        </is>
      </c>
      <c r="C1115" s="53" t="n">
        <v>18000</v>
      </c>
    </row>
    <row r="1116">
      <c r="A1116" s="105" t="n">
        <v>46256</v>
      </c>
      <c r="B1116" s="106" t="inlineStr">
        <is>
          <t>Naranja</t>
        </is>
      </c>
      <c r="C1116" s="105" t="n">
        <v>27500</v>
      </c>
    </row>
    <row r="1117">
      <c r="A1117" s="53" t="n">
        <v>46256</v>
      </c>
      <c r="B1117" s="77" t="inlineStr">
        <is>
          <t>Naranja</t>
        </is>
      </c>
      <c r="C1117" s="53" t="n">
        <v>17000</v>
      </c>
    </row>
    <row r="1118">
      <c r="A1118" s="105" t="n">
        <v>46256</v>
      </c>
      <c r="B1118" s="106" t="inlineStr">
        <is>
          <t>Naranja</t>
        </is>
      </c>
      <c r="C1118" s="105" t="n">
        <v>7600</v>
      </c>
    </row>
    <row r="1119">
      <c r="A1119" s="53" t="n">
        <v>46257</v>
      </c>
      <c r="B1119" s="77" t="inlineStr">
        <is>
          <t>Naranja</t>
        </is>
      </c>
      <c r="C1119" s="53" t="n">
        <v>42500</v>
      </c>
    </row>
    <row r="1120">
      <c r="A1120" s="105" t="n">
        <v>46257</v>
      </c>
      <c r="B1120" s="106" t="inlineStr">
        <is>
          <t>Naranja</t>
        </is>
      </c>
      <c r="C1120" s="105" t="n">
        <v>40200</v>
      </c>
    </row>
  </sheetData>
  <autoFilter ref="A1:H11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0" summaryRight="0"/>
    <pageSetUpPr/>
  </sheetPr>
  <dimension ref="A1:C9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21" customWidth="1" style="78" min="1" max="1"/>
    <col width="15" customWidth="1" style="78" min="2" max="2"/>
    <col width="10" customWidth="1" style="78" min="3" max="3"/>
  </cols>
  <sheetData>
    <row r="1">
      <c r="A1" s="79" t="inlineStr">
        <is>
          <t>Fecha</t>
        </is>
      </c>
      <c r="B1" s="79" t="inlineStr">
        <is>
          <t>Medio de Pago</t>
        </is>
      </c>
      <c r="C1" s="79" t="inlineStr">
        <is>
          <t>Monto</t>
        </is>
      </c>
    </row>
    <row r="2">
      <c r="A2" s="111" t="n">
        <v>45920</v>
      </c>
      <c r="B2" s="106" t="inlineStr">
        <is>
          <t>EFECTIVO</t>
        </is>
      </c>
      <c r="C2" s="107" t="n">
        <v>15000</v>
      </c>
    </row>
    <row r="3">
      <c r="A3" s="43" t="n">
        <v>45929</v>
      </c>
      <c r="B3" s="77" t="inlineStr">
        <is>
          <t>Efectivo</t>
        </is>
      </c>
      <c r="C3" s="109" t="n">
        <v>12000</v>
      </c>
    </row>
    <row r="4">
      <c r="A4" s="105" t="n">
        <v>45943</v>
      </c>
      <c r="B4" s="106" t="inlineStr">
        <is>
          <t>Efectivo</t>
        </is>
      </c>
      <c r="C4" s="107" t="n">
        <v>51800</v>
      </c>
    </row>
    <row r="5">
      <c r="A5" s="53" t="n">
        <v>45945</v>
      </c>
      <c r="B5" s="77" t="inlineStr">
        <is>
          <t>Efectivo</t>
        </is>
      </c>
      <c r="C5" s="109" t="n">
        <v>27000</v>
      </c>
    </row>
    <row r="6">
      <c r="A6" s="105" t="n">
        <v>45947</v>
      </c>
      <c r="B6" s="106" t="inlineStr">
        <is>
          <t>Efectivo</t>
        </is>
      </c>
      <c r="C6" s="107" t="n">
        <v>25000</v>
      </c>
    </row>
    <row r="7">
      <c r="A7" s="53" t="n">
        <v>45947</v>
      </c>
      <c r="B7" s="77" t="inlineStr">
        <is>
          <t>Efectivo</t>
        </is>
      </c>
      <c r="C7" s="109" t="n">
        <v>75000</v>
      </c>
    </row>
    <row r="8">
      <c r="A8" s="105" t="inlineStr">
        <is>
          <t>10/22/0825</t>
        </is>
      </c>
      <c r="B8" s="106" t="inlineStr">
        <is>
          <t>Efectivo</t>
        </is>
      </c>
      <c r="C8" s="107" t="n">
        <v>90000</v>
      </c>
    </row>
    <row r="9">
      <c r="A9" s="53" t="n">
        <v>45954</v>
      </c>
      <c r="B9" s="77" t="inlineStr">
        <is>
          <t>Efectivo</t>
        </is>
      </c>
      <c r="C9" s="109" t="n">
        <v>30000</v>
      </c>
    </row>
    <row r="10">
      <c r="A10" s="105" t="n">
        <v>45954</v>
      </c>
      <c r="B10" s="106" t="inlineStr">
        <is>
          <t>Efectivo</t>
        </is>
      </c>
      <c r="C10" s="107" t="n">
        <v>20000</v>
      </c>
    </row>
    <row r="11">
      <c r="A11" s="53" t="n">
        <v>45954</v>
      </c>
      <c r="B11" s="77" t="inlineStr">
        <is>
          <t>Efectivo</t>
        </is>
      </c>
      <c r="C11" s="109" t="n">
        <v>33500</v>
      </c>
    </row>
    <row r="12">
      <c r="A12" s="105" t="n">
        <v>45954</v>
      </c>
      <c r="B12" s="106" t="inlineStr">
        <is>
          <t>Efectivo</t>
        </is>
      </c>
      <c r="C12" s="107" t="n">
        <v>59900</v>
      </c>
    </row>
    <row r="13">
      <c r="A13" s="53" t="n">
        <v>45955</v>
      </c>
      <c r="B13" s="77" t="inlineStr">
        <is>
          <t>Efectivo</t>
        </is>
      </c>
      <c r="C13" s="109" t="n">
        <v>60000</v>
      </c>
    </row>
    <row r="14">
      <c r="A14" s="105" t="n">
        <v>45958</v>
      </c>
      <c r="B14" s="106" t="inlineStr">
        <is>
          <t>Efectivo</t>
        </is>
      </c>
      <c r="C14" s="107" t="n">
        <v>20000</v>
      </c>
    </row>
    <row r="15">
      <c r="A15" s="53" t="n">
        <v>45960</v>
      </c>
      <c r="B15" s="77" t="inlineStr">
        <is>
          <t>GO Cuota</t>
        </is>
      </c>
      <c r="C15" s="109" t="n">
        <v>70230</v>
      </c>
    </row>
    <row r="16">
      <c r="A16" s="105" t="n">
        <v>45961</v>
      </c>
      <c r="B16" s="106" t="inlineStr">
        <is>
          <t>Efectivo</t>
        </is>
      </c>
      <c r="C16" s="107" t="n">
        <v>30000</v>
      </c>
    </row>
    <row r="17">
      <c r="A17" s="53" t="n">
        <v>45961</v>
      </c>
      <c r="B17" s="77" t="inlineStr">
        <is>
          <t>Efectivo</t>
        </is>
      </c>
      <c r="C17" s="109" t="n">
        <v>40000</v>
      </c>
    </row>
    <row r="18">
      <c r="A18" s="105" t="n">
        <v>45965</v>
      </c>
      <c r="B18" s="106" t="inlineStr">
        <is>
          <t>Efectivo</t>
        </is>
      </c>
      <c r="C18" s="107" t="n">
        <v>20000</v>
      </c>
    </row>
    <row r="19">
      <c r="A19" s="53" t="n">
        <v>45965</v>
      </c>
      <c r="B19" s="77" t="inlineStr">
        <is>
          <t>GO Cuota</t>
        </is>
      </c>
      <c r="C19" s="109" t="n">
        <v>185500</v>
      </c>
    </row>
    <row r="20">
      <c r="A20" s="105" t="n">
        <v>45965</v>
      </c>
      <c r="B20" s="106" t="inlineStr">
        <is>
          <t>GO Cuota</t>
        </is>
      </c>
      <c r="C20" s="107" t="n">
        <v>16100</v>
      </c>
    </row>
    <row r="21">
      <c r="A21" s="53" t="n">
        <v>45966</v>
      </c>
      <c r="B21" s="77" t="inlineStr">
        <is>
          <t>Efectivo</t>
        </is>
      </c>
      <c r="C21" s="109" t="n">
        <v>100000</v>
      </c>
    </row>
    <row r="22">
      <c r="A22" s="105" t="n">
        <v>45967</v>
      </c>
      <c r="B22" s="106" t="inlineStr">
        <is>
          <t>Efectivo</t>
        </is>
      </c>
      <c r="C22" s="107" t="n">
        <v>50000</v>
      </c>
    </row>
    <row r="23">
      <c r="A23" s="53" t="n">
        <v>45969</v>
      </c>
      <c r="B23" s="77" t="inlineStr">
        <is>
          <t>GO Cuota</t>
        </is>
      </c>
      <c r="C23" s="109" t="n">
        <v>34500</v>
      </c>
    </row>
    <row r="24">
      <c r="A24" s="105" t="n">
        <v>45969</v>
      </c>
      <c r="B24" s="106" t="inlineStr">
        <is>
          <t>Efectivo</t>
        </is>
      </c>
      <c r="C24" s="107" t="n">
        <v>50000</v>
      </c>
    </row>
    <row r="25">
      <c r="A25" s="53" t="n">
        <v>45974</v>
      </c>
      <c r="B25" s="77" t="inlineStr">
        <is>
          <t>GO Cuota</t>
        </is>
      </c>
      <c r="C25" s="109" t="n">
        <v>77050</v>
      </c>
    </row>
    <row r="26">
      <c r="A26" s="105" t="n">
        <v>45974</v>
      </c>
      <c r="B26" s="106" t="inlineStr">
        <is>
          <t>GO Cuota</t>
        </is>
      </c>
      <c r="C26" s="107" t="n">
        <v>63250</v>
      </c>
    </row>
    <row r="27">
      <c r="A27" s="53" t="n">
        <v>45975</v>
      </c>
      <c r="B27" s="77" t="inlineStr">
        <is>
          <t>GO Cuota</t>
        </is>
      </c>
      <c r="C27" s="109" t="n">
        <v>115600</v>
      </c>
    </row>
    <row r="28">
      <c r="A28" s="105" t="n">
        <v>45980</v>
      </c>
      <c r="B28" s="106" t="inlineStr">
        <is>
          <t>Efectivo</t>
        </is>
      </c>
      <c r="C28" s="107" t="n">
        <v>23000</v>
      </c>
    </row>
    <row r="29">
      <c r="A29" s="53" t="n">
        <v>45981</v>
      </c>
      <c r="B29" s="77" t="inlineStr">
        <is>
          <t>GO Cuota</t>
        </is>
      </c>
      <c r="C29" s="109" t="n">
        <v>70730</v>
      </c>
    </row>
    <row r="30">
      <c r="A30" s="105" t="n">
        <v>45982</v>
      </c>
      <c r="B30" s="106" t="inlineStr">
        <is>
          <t>GO Cuota</t>
        </is>
      </c>
      <c r="C30" s="107" t="n">
        <v>30820</v>
      </c>
    </row>
    <row r="31">
      <c r="A31" s="53" t="n">
        <v>45992</v>
      </c>
      <c r="B31" s="77" t="inlineStr">
        <is>
          <t>GO Cuota</t>
        </is>
      </c>
      <c r="C31" s="109" t="n">
        <v>120700</v>
      </c>
    </row>
    <row r="32">
      <c r="A32" s="105" t="n">
        <v>45996</v>
      </c>
      <c r="B32" s="106" t="inlineStr">
        <is>
          <t>Efectivo</t>
        </is>
      </c>
      <c r="C32" s="107" t="n">
        <v>40000</v>
      </c>
    </row>
    <row r="33">
      <c r="A33" s="53" t="n">
        <v>46002</v>
      </c>
      <c r="B33" s="77" t="inlineStr">
        <is>
          <t>Efectivo</t>
        </is>
      </c>
      <c r="C33" s="109" t="n">
        <v>40000</v>
      </c>
    </row>
    <row r="34">
      <c r="A34" s="105" t="n">
        <v>46004</v>
      </c>
      <c r="B34" s="106" t="inlineStr">
        <is>
          <t>GO Cuota</t>
        </is>
      </c>
      <c r="C34" s="107" t="n">
        <v>35270</v>
      </c>
    </row>
    <row r="35">
      <c r="A35" s="53" t="n">
        <v>46008</v>
      </c>
      <c r="B35" s="77" t="inlineStr">
        <is>
          <t>Efectivo</t>
        </is>
      </c>
      <c r="C35" s="109" t="n">
        <v>95000</v>
      </c>
    </row>
    <row r="36">
      <c r="A36" s="105" t="n">
        <v>46008</v>
      </c>
      <c r="B36" s="106" t="inlineStr">
        <is>
          <t>GO Cuota</t>
        </is>
      </c>
      <c r="C36" s="107" t="n">
        <v>69000</v>
      </c>
    </row>
    <row r="37">
      <c r="A37" s="53" t="n">
        <v>46011</v>
      </c>
      <c r="B37" s="77" t="inlineStr">
        <is>
          <t>Efectivo</t>
        </is>
      </c>
      <c r="C37" s="109" t="n">
        <v>30000</v>
      </c>
    </row>
    <row r="38">
      <c r="A38" s="105" t="n">
        <v>46014</v>
      </c>
      <c r="B38" s="106" t="inlineStr">
        <is>
          <t>GO Cuota</t>
        </is>
      </c>
      <c r="C38" s="107" t="n">
        <v>183200</v>
      </c>
    </row>
    <row r="39">
      <c r="A39" s="53" t="n">
        <v>46014</v>
      </c>
      <c r="B39" s="77" t="inlineStr">
        <is>
          <t>GO Cuota</t>
        </is>
      </c>
      <c r="C39" s="109" t="n">
        <v>77300</v>
      </c>
    </row>
    <row r="40">
      <c r="A40" s="105" t="n">
        <v>46014</v>
      </c>
      <c r="B40" s="106" t="inlineStr">
        <is>
          <t>GO Cuota</t>
        </is>
      </c>
      <c r="C40" s="107" t="n">
        <v>92575</v>
      </c>
    </row>
    <row r="41">
      <c r="A41" s="53" t="n">
        <v>46015</v>
      </c>
      <c r="B41" s="77" t="inlineStr">
        <is>
          <t>GO Cuota</t>
        </is>
      </c>
      <c r="C41" s="109" t="n">
        <v>50000</v>
      </c>
    </row>
    <row r="42">
      <c r="A42" s="105" t="n">
        <v>46015</v>
      </c>
      <c r="B42" s="106" t="inlineStr">
        <is>
          <t>GO Cuota</t>
        </is>
      </c>
      <c r="C42" s="107" t="n">
        <v>45000</v>
      </c>
    </row>
    <row r="43">
      <c r="A43" s="53" t="n">
        <v>46015</v>
      </c>
      <c r="B43" s="77" t="inlineStr">
        <is>
          <t>GO Cuota</t>
        </is>
      </c>
      <c r="C43" s="109" t="n">
        <v>39680</v>
      </c>
    </row>
    <row r="44">
      <c r="A44" s="105" t="n">
        <v>46015</v>
      </c>
      <c r="B44" s="106" t="inlineStr">
        <is>
          <t>GO Cuota</t>
        </is>
      </c>
      <c r="C44" s="107" t="n">
        <v>32800</v>
      </c>
    </row>
    <row r="45">
      <c r="A45" s="53" t="n">
        <v>46015</v>
      </c>
      <c r="B45" s="77" t="inlineStr">
        <is>
          <t>GO Cuota</t>
        </is>
      </c>
      <c r="C45" s="109" t="n">
        <v>49450</v>
      </c>
    </row>
    <row r="46">
      <c r="A46" s="105" t="n">
        <v>46018</v>
      </c>
      <c r="B46" s="106" t="inlineStr">
        <is>
          <t>Efectivo</t>
        </is>
      </c>
      <c r="C46" s="107" t="n">
        <v>50000</v>
      </c>
    </row>
    <row r="47">
      <c r="A47" s="53" t="n">
        <v>46019</v>
      </c>
      <c r="B47" s="77" t="inlineStr">
        <is>
          <t>Efectivo</t>
        </is>
      </c>
      <c r="C47" s="109" t="n">
        <v>30000</v>
      </c>
    </row>
    <row r="48">
      <c r="A48" s="105" t="n">
        <v>46022</v>
      </c>
      <c r="B48" s="106" t="inlineStr">
        <is>
          <t>GO Cuota</t>
        </is>
      </c>
      <c r="C48" s="107" t="n">
        <v>42000</v>
      </c>
    </row>
    <row r="49">
      <c r="A49" s="53" t="n">
        <v>46026</v>
      </c>
      <c r="B49" s="77" t="inlineStr">
        <is>
          <t>GO Cuota</t>
        </is>
      </c>
      <c r="C49" s="109" t="n">
        <v>57000</v>
      </c>
    </row>
    <row r="50">
      <c r="A50" s="105" t="n">
        <v>46027</v>
      </c>
      <c r="B50" s="106" t="inlineStr">
        <is>
          <t>GO Cuota</t>
        </is>
      </c>
      <c r="C50" s="107" t="n">
        <v>27600</v>
      </c>
    </row>
    <row r="51">
      <c r="A51" s="53" t="n">
        <v>46042</v>
      </c>
      <c r="B51" s="77" t="inlineStr">
        <is>
          <t>GO Cuota</t>
        </is>
      </c>
      <c r="C51" s="109" t="n">
        <v>34500</v>
      </c>
    </row>
    <row r="52">
      <c r="A52" s="105" t="n">
        <v>46043</v>
      </c>
      <c r="B52" s="106" t="inlineStr">
        <is>
          <t>GO Cuota</t>
        </is>
      </c>
      <c r="C52" s="107" t="n">
        <v>37950</v>
      </c>
    </row>
    <row r="53">
      <c r="A53" s="53" t="n">
        <v>46044</v>
      </c>
      <c r="B53" s="77" t="inlineStr">
        <is>
          <t>GO Cuota</t>
        </is>
      </c>
      <c r="C53" s="109" t="n">
        <v>133000</v>
      </c>
    </row>
    <row r="54">
      <c r="A54" s="105" t="n">
        <v>46049</v>
      </c>
      <c r="B54" s="106" t="inlineStr">
        <is>
          <t>GO Cuota</t>
        </is>
      </c>
      <c r="C54" s="107" t="n">
        <v>74180</v>
      </c>
    </row>
    <row r="55">
      <c r="A55" s="53" t="n">
        <v>46049</v>
      </c>
      <c r="B55" s="77" t="inlineStr">
        <is>
          <t>GO Cuota</t>
        </is>
      </c>
      <c r="C55" s="109" t="n">
        <v>65550</v>
      </c>
    </row>
    <row r="56">
      <c r="A56" s="105" t="n">
        <v>46049</v>
      </c>
      <c r="B56" s="106" t="inlineStr">
        <is>
          <t>GO Cuota</t>
        </is>
      </c>
      <c r="C56" s="107" t="n">
        <v>90825</v>
      </c>
    </row>
    <row r="57">
      <c r="A57" s="53" t="n">
        <v>46054</v>
      </c>
      <c r="B57" s="77" t="inlineStr">
        <is>
          <t>GO Cuota</t>
        </is>
      </c>
      <c r="C57" s="109" t="n">
        <v>69580</v>
      </c>
    </row>
    <row r="58">
      <c r="A58" s="105" t="n">
        <v>46059</v>
      </c>
      <c r="B58" s="106" t="inlineStr">
        <is>
          <t>Efectivo</t>
        </is>
      </c>
      <c r="C58" s="107" t="n">
        <v>20000</v>
      </c>
    </row>
    <row r="59">
      <c r="A59" s="53" t="n">
        <v>46060</v>
      </c>
      <c r="B59" s="77" t="inlineStr">
        <is>
          <t>GO Cuota</t>
        </is>
      </c>
      <c r="C59" s="109" t="n">
        <v>72570</v>
      </c>
    </row>
    <row r="60">
      <c r="A60" s="105" t="n">
        <v>46063</v>
      </c>
      <c r="B60" s="106" t="inlineStr">
        <is>
          <t>GO Cuota</t>
        </is>
      </c>
      <c r="C60" s="107" t="n">
        <v>20930</v>
      </c>
    </row>
    <row r="61">
      <c r="A61" s="53" t="n">
        <v>46067</v>
      </c>
      <c r="B61" s="77" t="inlineStr">
        <is>
          <t>GO Cuota</t>
        </is>
      </c>
      <c r="C61" s="109" t="n">
        <v>34160</v>
      </c>
    </row>
    <row r="62">
      <c r="A62" s="105" t="n">
        <v>46072</v>
      </c>
      <c r="B62" s="106" t="inlineStr">
        <is>
          <t>GO Cuota</t>
        </is>
      </c>
      <c r="C62" s="107" t="n">
        <v>120000</v>
      </c>
    </row>
    <row r="63">
      <c r="A63" s="53" t="n">
        <v>46072</v>
      </c>
      <c r="B63" s="77" t="inlineStr">
        <is>
          <t>GO Cuota</t>
        </is>
      </c>
      <c r="C63" s="109" t="n">
        <v>113000</v>
      </c>
    </row>
    <row r="64">
      <c r="A64" s="105" t="n">
        <v>46076</v>
      </c>
      <c r="B64" s="106" t="inlineStr">
        <is>
          <t>GO Cuota</t>
        </is>
      </c>
      <c r="C64" s="107" t="n">
        <v>41400</v>
      </c>
    </row>
    <row r="65">
      <c r="A65" s="53" t="n">
        <v>46080</v>
      </c>
      <c r="B65" s="77" t="inlineStr">
        <is>
          <t>GO Cuota</t>
        </is>
      </c>
      <c r="C65" s="109" t="n">
        <v>51750</v>
      </c>
    </row>
    <row r="66">
      <c r="A66" s="105" t="n">
        <v>46081</v>
      </c>
      <c r="B66" s="106" t="inlineStr">
        <is>
          <t>GO Cuota</t>
        </is>
      </c>
      <c r="C66" s="107" t="n">
        <v>51600</v>
      </c>
    </row>
    <row r="67">
      <c r="A67" s="53" t="n">
        <v>46081</v>
      </c>
      <c r="B67" s="77" t="inlineStr">
        <is>
          <t>GO Cuota</t>
        </is>
      </c>
      <c r="C67" s="109" t="n">
        <v>57000</v>
      </c>
    </row>
    <row r="68">
      <c r="A68" s="105" t="n">
        <v>46081</v>
      </c>
      <c r="B68" s="106" t="inlineStr">
        <is>
          <t>GO Cuota</t>
        </is>
      </c>
      <c r="C68" s="107" t="n">
        <v>145000</v>
      </c>
    </row>
    <row r="69">
      <c r="A69" s="53" t="n">
        <v>46081</v>
      </c>
      <c r="B69" s="77" t="inlineStr">
        <is>
          <t>GO Cuota</t>
        </is>
      </c>
      <c r="C69" s="109" t="n">
        <v>10000</v>
      </c>
    </row>
    <row r="70">
      <c r="A70" s="105" t="n">
        <v>46082</v>
      </c>
      <c r="B70" s="106" t="inlineStr">
        <is>
          <t>GO Cuota</t>
        </is>
      </c>
      <c r="C70" s="107" t="n">
        <v>130200</v>
      </c>
    </row>
    <row r="71">
      <c r="A71" s="53" t="n">
        <v>46084</v>
      </c>
      <c r="B71" s="77" t="inlineStr">
        <is>
          <t>GO Cuota</t>
        </is>
      </c>
      <c r="C71" s="109" t="n">
        <v>57600</v>
      </c>
    </row>
    <row r="72">
      <c r="A72" s="105" t="n">
        <v>46088</v>
      </c>
      <c r="B72" s="106" t="inlineStr">
        <is>
          <t>GO Cuota</t>
        </is>
      </c>
      <c r="C72" s="107" t="n">
        <v>20640</v>
      </c>
    </row>
    <row r="73">
      <c r="A73" s="53" t="n">
        <v>46088</v>
      </c>
      <c r="B73" s="77" t="inlineStr">
        <is>
          <t>GO Cuota</t>
        </is>
      </c>
      <c r="C73" s="109" t="n">
        <v>43320</v>
      </c>
    </row>
    <row r="74">
      <c r="A74" s="105" t="n">
        <v>46092</v>
      </c>
      <c r="B74" s="106" t="inlineStr">
        <is>
          <t>GO Cuota</t>
        </is>
      </c>
      <c r="C74" s="107" t="n">
        <v>36600</v>
      </c>
    </row>
    <row r="75">
      <c r="A75" s="53" t="n">
        <v>46093</v>
      </c>
      <c r="B75" s="77" t="inlineStr">
        <is>
          <t>GO Cuota</t>
        </is>
      </c>
      <c r="C75" s="109" t="n">
        <v>39000</v>
      </c>
    </row>
    <row r="76">
      <c r="A76" s="105" t="n">
        <v>46095</v>
      </c>
      <c r="B76" s="106" t="inlineStr">
        <is>
          <t>GO Cuota</t>
        </is>
      </c>
      <c r="C76" s="107" t="n">
        <v>46200</v>
      </c>
    </row>
    <row r="77">
      <c r="A77" s="53" t="n">
        <v>46095</v>
      </c>
      <c r="B77" s="77" t="inlineStr">
        <is>
          <t>GO Cuota</t>
        </is>
      </c>
      <c r="C77" s="109" t="n">
        <v>148800</v>
      </c>
    </row>
    <row r="78">
      <c r="A78" s="105" t="n">
        <v>46098</v>
      </c>
      <c r="B78" s="106" t="inlineStr">
        <is>
          <t>GO Cuota</t>
        </is>
      </c>
      <c r="C78" s="107" t="n">
        <v>132000</v>
      </c>
    </row>
    <row r="79">
      <c r="A79" s="53" t="n">
        <v>46101</v>
      </c>
      <c r="B79" s="77" t="inlineStr">
        <is>
          <t>GO Cuota</t>
        </is>
      </c>
      <c r="C79" s="109" t="n">
        <v>81000</v>
      </c>
    </row>
    <row r="80">
      <c r="A80" s="105" t="n">
        <v>46113</v>
      </c>
      <c r="B80" s="106" t="inlineStr">
        <is>
          <t>GO Cuota</t>
        </is>
      </c>
      <c r="C80" s="107" t="n">
        <v>43200</v>
      </c>
    </row>
    <row r="81">
      <c r="A81" s="53" t="n">
        <v>46114</v>
      </c>
      <c r="B81" s="77" t="inlineStr">
        <is>
          <t>Efectivo</t>
        </is>
      </c>
      <c r="C81" s="109" t="n">
        <v>30000</v>
      </c>
    </row>
    <row r="82">
      <c r="A82" s="105" t="n">
        <v>46118</v>
      </c>
      <c r="B82" s="106" t="inlineStr">
        <is>
          <t>GO Cuota</t>
        </is>
      </c>
      <c r="C82" s="107" t="n">
        <v>114600</v>
      </c>
    </row>
    <row r="83">
      <c r="A83" s="53" t="n">
        <v>46123</v>
      </c>
      <c r="B83" s="77" t="inlineStr">
        <is>
          <t>GO Cuota</t>
        </is>
      </c>
      <c r="C83" s="109" t="n">
        <v>105000</v>
      </c>
    </row>
    <row r="84">
      <c r="A84" s="105" t="n">
        <v>46126</v>
      </c>
      <c r="B84" s="106" t="inlineStr">
        <is>
          <t>GO Cuota</t>
        </is>
      </c>
      <c r="C84" s="107" t="n">
        <v>58800</v>
      </c>
    </row>
    <row r="85">
      <c r="A85" s="53" t="n">
        <v>46126</v>
      </c>
      <c r="B85" s="77" t="inlineStr">
        <is>
          <t>GO Cuota</t>
        </is>
      </c>
      <c r="C85" s="109" t="n">
        <v>121200</v>
      </c>
    </row>
    <row r="86">
      <c r="A86" s="105" t="n">
        <v>46130</v>
      </c>
      <c r="B86" s="106" t="inlineStr">
        <is>
          <t>GO Cuota</t>
        </is>
      </c>
      <c r="C86" s="107" t="n">
        <v>51000</v>
      </c>
    </row>
    <row r="87">
      <c r="A87" s="53" t="n">
        <v>46130</v>
      </c>
      <c r="B87" s="77" t="inlineStr">
        <is>
          <t>GO Cuota</t>
        </is>
      </c>
      <c r="C87" s="109" t="n">
        <v>18000</v>
      </c>
    </row>
    <row r="88">
      <c r="A88" s="105" t="n">
        <v>46137</v>
      </c>
      <c r="B88" s="106" t="inlineStr">
        <is>
          <t>GO Cuota</t>
        </is>
      </c>
      <c r="C88" s="107" t="n">
        <v>55200</v>
      </c>
    </row>
    <row r="89">
      <c r="A89" s="53" t="n">
        <v>46142</v>
      </c>
      <c r="B89" s="77" t="inlineStr">
        <is>
          <t>GO Cuota</t>
        </is>
      </c>
      <c r="C89" s="109" t="n">
        <v>27960</v>
      </c>
    </row>
    <row r="90">
      <c r="A90" s="105" t="n">
        <v>46145</v>
      </c>
      <c r="B90" s="106" t="inlineStr">
        <is>
          <t>GO Cuota</t>
        </is>
      </c>
      <c r="C90" s="107" t="n">
        <v>38880</v>
      </c>
    </row>
    <row r="91">
      <c r="A91" s="53" t="n">
        <v>46151</v>
      </c>
      <c r="B91" s="77" t="inlineStr">
        <is>
          <t>GO Cuota</t>
        </is>
      </c>
      <c r="C91" s="109" t="n">
        <v>84000</v>
      </c>
    </row>
    <row r="92">
      <c r="A92" s="105" t="n">
        <v>46151</v>
      </c>
      <c r="B92" s="106" t="inlineStr">
        <is>
          <t>GO Cuota</t>
        </is>
      </c>
      <c r="C92" s="107" t="n">
        <v>288960</v>
      </c>
    </row>
    <row r="93">
      <c r="A93" s="53" t="n">
        <v>46152</v>
      </c>
      <c r="B93" s="77" t="inlineStr">
        <is>
          <t>GO Cuota</t>
        </is>
      </c>
      <c r="C93" s="109" t="n">
        <v>106800</v>
      </c>
    </row>
    <row r="94">
      <c r="A94" s="105" t="n">
        <v>46156</v>
      </c>
      <c r="B94" s="106" t="inlineStr">
        <is>
          <t>GO Cuota</t>
        </is>
      </c>
      <c r="C94" s="107" t="n">
        <v>154200</v>
      </c>
    </row>
    <row r="95">
      <c r="A95" s="53" t="n">
        <v>46156</v>
      </c>
      <c r="B95" s="77" t="inlineStr">
        <is>
          <t>GO Cuota</t>
        </is>
      </c>
      <c r="C95" s="109" t="n">
        <v>87600</v>
      </c>
    </row>
    <row r="96">
      <c r="A96" s="105" t="n">
        <v>46161</v>
      </c>
      <c r="B96" s="106" t="inlineStr">
        <is>
          <t>Efectivo</t>
        </is>
      </c>
      <c r="C96" s="107" t="n">
        <v>50000</v>
      </c>
    </row>
    <row r="97">
      <c r="A97" s="53" t="n">
        <v>46162</v>
      </c>
      <c r="B97" s="77" t="inlineStr">
        <is>
          <t>GO Cuota</t>
        </is>
      </c>
      <c r="C97" s="109" t="n">
        <v>149000</v>
      </c>
    </row>
    <row r="98">
      <c r="A98" s="105" t="n">
        <v>46170</v>
      </c>
      <c r="B98" s="106" t="inlineStr">
        <is>
          <t>GO Cuota</t>
        </is>
      </c>
      <c r="C98" s="107" t="n">
        <v>48600</v>
      </c>
    </row>
    <row r="99">
      <c r="A99" s="53" t="n">
        <v>46177</v>
      </c>
      <c r="B99" s="77" t="inlineStr">
        <is>
          <t>GO Cuota</t>
        </is>
      </c>
      <c r="C99" s="109" t="n">
        <v>39000</v>
      </c>
    </row>
    <row r="100">
      <c r="A100" s="105" t="n">
        <v>46177</v>
      </c>
      <c r="B100" s="106" t="inlineStr">
        <is>
          <t>Efectivo</t>
        </is>
      </c>
      <c r="C100" s="107" t="n">
        <v>60000</v>
      </c>
    </row>
    <row r="101">
      <c r="A101" s="53" t="n">
        <v>46178</v>
      </c>
      <c r="B101" s="77" t="inlineStr">
        <is>
          <t>GO Cuota</t>
        </is>
      </c>
      <c r="C101" s="109" t="n">
        <v>30000</v>
      </c>
    </row>
    <row r="102">
      <c r="A102" s="105" t="n">
        <v>46179</v>
      </c>
      <c r="B102" s="106" t="inlineStr">
        <is>
          <t>GO Cuota</t>
        </is>
      </c>
      <c r="C102" s="107" t="n">
        <v>37000</v>
      </c>
    </row>
    <row r="103">
      <c r="A103" s="53" t="n">
        <v>46179</v>
      </c>
      <c r="B103" s="77" t="inlineStr">
        <is>
          <t>GO Cuota</t>
        </is>
      </c>
      <c r="C103" s="109" t="n">
        <v>151200</v>
      </c>
    </row>
    <row r="104">
      <c r="A104" s="105" t="n">
        <v>46179</v>
      </c>
      <c r="B104" s="106" t="inlineStr">
        <is>
          <t>GO Cuota</t>
        </is>
      </c>
      <c r="C104" s="107" t="n">
        <v>70800</v>
      </c>
    </row>
    <row r="105">
      <c r="A105" s="53" t="n">
        <v>46181</v>
      </c>
      <c r="B105" s="77" t="inlineStr">
        <is>
          <t>GO Cuota</t>
        </is>
      </c>
      <c r="C105" s="109" t="n">
        <v>195600</v>
      </c>
    </row>
    <row r="106">
      <c r="A106" s="105" t="n">
        <v>46182</v>
      </c>
      <c r="B106" s="106" t="inlineStr">
        <is>
          <t>GO Cuota</t>
        </is>
      </c>
      <c r="C106" s="107" t="n">
        <v>90300</v>
      </c>
    </row>
    <row r="107">
      <c r="A107" s="53" t="n">
        <v>46183</v>
      </c>
      <c r="B107" s="77" t="inlineStr">
        <is>
          <t>GO Cuota</t>
        </is>
      </c>
      <c r="C107" s="109" t="n">
        <v>90000</v>
      </c>
    </row>
    <row r="108">
      <c r="A108" s="105" t="n">
        <v>46183</v>
      </c>
      <c r="B108" s="106" t="inlineStr">
        <is>
          <t>GO Cuota</t>
        </is>
      </c>
      <c r="C108" s="107" t="n">
        <v>65760</v>
      </c>
    </row>
    <row r="109">
      <c r="A109" s="53" t="n">
        <v>46184</v>
      </c>
      <c r="B109" s="77" t="inlineStr">
        <is>
          <t>GO Cuota</t>
        </is>
      </c>
      <c r="C109" s="109" t="n">
        <v>116400</v>
      </c>
    </row>
    <row r="110">
      <c r="A110" s="105" t="n">
        <v>46188</v>
      </c>
      <c r="B110" s="106" t="inlineStr">
        <is>
          <t>GO Cuota</t>
        </is>
      </c>
      <c r="C110" s="107" t="n">
        <v>189000</v>
      </c>
    </row>
    <row r="111">
      <c r="A111" s="53" t="n">
        <v>46190</v>
      </c>
      <c r="B111" s="77" t="inlineStr">
        <is>
          <t>Efectivo</t>
        </is>
      </c>
      <c r="C111" s="109" t="n">
        <v>150000</v>
      </c>
    </row>
    <row r="112">
      <c r="A112" s="105" t="n">
        <v>46191</v>
      </c>
      <c r="B112" s="106" t="inlineStr">
        <is>
          <t>GO Cuota</t>
        </is>
      </c>
      <c r="C112" s="107" t="n">
        <v>60000</v>
      </c>
    </row>
    <row r="113">
      <c r="A113" s="53" t="n">
        <v>46191</v>
      </c>
      <c r="B113" s="77" t="inlineStr">
        <is>
          <t>GO Cuota</t>
        </is>
      </c>
      <c r="C113" s="109" t="n">
        <v>63300</v>
      </c>
    </row>
    <row r="114">
      <c r="A114" s="105" t="n">
        <v>46193</v>
      </c>
      <c r="B114" s="106" t="inlineStr">
        <is>
          <t>GO Cuota</t>
        </is>
      </c>
      <c r="C114" s="107" t="n">
        <v>69000</v>
      </c>
    </row>
    <row r="115">
      <c r="A115" s="53" t="n">
        <v>46193</v>
      </c>
      <c r="B115" s="77" t="inlineStr">
        <is>
          <t>GO Cuota</t>
        </is>
      </c>
      <c r="C115" s="109" t="n">
        <v>42600</v>
      </c>
    </row>
    <row r="116">
      <c r="A116" s="105" t="n">
        <v>46193</v>
      </c>
      <c r="B116" s="106" t="inlineStr">
        <is>
          <t>GO Cuota</t>
        </is>
      </c>
      <c r="C116" s="107" t="n">
        <v>66000</v>
      </c>
    </row>
    <row r="117">
      <c r="A117" s="53" t="n">
        <v>46193</v>
      </c>
      <c r="B117" s="77" t="inlineStr">
        <is>
          <t>GO Cuota</t>
        </is>
      </c>
      <c r="C117" s="109" t="n">
        <v>76500</v>
      </c>
    </row>
    <row r="118">
      <c r="A118" s="105" t="n">
        <v>46194</v>
      </c>
      <c r="B118" s="106" t="inlineStr">
        <is>
          <t>GO Cuota</t>
        </is>
      </c>
      <c r="C118" s="107" t="n">
        <v>52000</v>
      </c>
    </row>
    <row r="119">
      <c r="A119" s="53" t="n">
        <v>46195</v>
      </c>
      <c r="B119" s="77" t="inlineStr">
        <is>
          <t>GO Cuota</t>
        </is>
      </c>
      <c r="C119" s="109" t="n">
        <v>100200</v>
      </c>
    </row>
    <row r="120">
      <c r="A120" s="105" t="n">
        <v>46198</v>
      </c>
      <c r="B120" s="106" t="inlineStr">
        <is>
          <t>Efectivo</t>
        </is>
      </c>
      <c r="C120" s="107" t="n">
        <v>40000</v>
      </c>
    </row>
    <row r="121">
      <c r="A121" s="53" t="n">
        <v>46201</v>
      </c>
      <c r="B121" s="77" t="inlineStr">
        <is>
          <t>GO Cuota</t>
        </is>
      </c>
      <c r="C121" s="109" t="n">
        <v>54000</v>
      </c>
    </row>
    <row r="122">
      <c r="A122" s="105" t="n">
        <v>46202</v>
      </c>
      <c r="B122" s="106" t="inlineStr">
        <is>
          <t>GO Cuota</t>
        </is>
      </c>
      <c r="C122" s="107" t="n">
        <v>27600</v>
      </c>
    </row>
    <row r="123">
      <c r="A123" s="53" t="n">
        <v>46203</v>
      </c>
      <c r="B123" s="77" t="inlineStr">
        <is>
          <t>GO Cuota</t>
        </is>
      </c>
      <c r="C123" s="109" t="n">
        <v>52800</v>
      </c>
    </row>
    <row r="124">
      <c r="A124" s="105" t="n">
        <v>46211</v>
      </c>
      <c r="B124" s="106" t="inlineStr">
        <is>
          <t>GO Cuota</t>
        </is>
      </c>
      <c r="C124" s="107" t="n">
        <v>73800</v>
      </c>
    </row>
    <row r="125">
      <c r="A125" s="53" t="n">
        <v>46211</v>
      </c>
      <c r="B125" s="77" t="inlineStr">
        <is>
          <t>GO Cuota</t>
        </is>
      </c>
      <c r="C125" s="109" t="n">
        <v>202200</v>
      </c>
    </row>
    <row r="126">
      <c r="A126" s="105" t="n">
        <v>46213</v>
      </c>
      <c r="B126" s="106" t="inlineStr">
        <is>
          <t>GO Cuota</t>
        </is>
      </c>
      <c r="C126" s="107" t="n">
        <v>78000</v>
      </c>
    </row>
    <row r="127">
      <c r="A127" s="53" t="n">
        <v>46214</v>
      </c>
      <c r="B127" s="77" t="inlineStr">
        <is>
          <t>GO Cuota</t>
        </is>
      </c>
      <c r="C127" s="109" t="n">
        <v>126000</v>
      </c>
    </row>
    <row r="128">
      <c r="A128" s="105" t="n">
        <v>46214</v>
      </c>
      <c r="B128" s="106" t="inlineStr">
        <is>
          <t>GO Cuota</t>
        </is>
      </c>
      <c r="C128" s="107" t="n">
        <v>52800</v>
      </c>
    </row>
    <row r="129">
      <c r="A129" s="53" t="n">
        <v>46221</v>
      </c>
      <c r="B129" s="77" t="inlineStr">
        <is>
          <t>GO Cuota</t>
        </is>
      </c>
      <c r="C129" s="109" t="n">
        <v>85880</v>
      </c>
    </row>
    <row r="130">
      <c r="A130" s="105" t="n">
        <v>46221</v>
      </c>
      <c r="B130" s="106" t="inlineStr">
        <is>
          <t>Efectivo</t>
        </is>
      </c>
      <c r="C130" s="107" t="n">
        <v>50000</v>
      </c>
    </row>
    <row r="131">
      <c r="A131" s="53" t="n">
        <v>46224</v>
      </c>
      <c r="B131" s="77" t="inlineStr">
        <is>
          <t>Efectivo</t>
        </is>
      </c>
      <c r="C131" s="109" t="n">
        <v>80000</v>
      </c>
    </row>
    <row r="132">
      <c r="A132" s="105" t="n">
        <v>46235</v>
      </c>
      <c r="B132" s="106" t="inlineStr">
        <is>
          <t>Efectivo</t>
        </is>
      </c>
      <c r="C132" s="107" t="n">
        <v>70000</v>
      </c>
    </row>
    <row r="133">
      <c r="A133" s="53" t="n">
        <v>46238</v>
      </c>
      <c r="B133" s="77" t="inlineStr">
        <is>
          <t>GO Cuota</t>
        </is>
      </c>
      <c r="C133" s="109" t="n">
        <v>53760</v>
      </c>
    </row>
    <row r="134">
      <c r="A134" s="105" t="n">
        <v>46242</v>
      </c>
      <c r="B134" s="106" t="inlineStr">
        <is>
          <t>GO Cuota</t>
        </is>
      </c>
      <c r="C134" s="107" t="n">
        <v>56400</v>
      </c>
    </row>
    <row r="135">
      <c r="A135" s="53" t="n">
        <v>46248</v>
      </c>
      <c r="B135" s="77" t="inlineStr">
        <is>
          <t>GO Cuota</t>
        </is>
      </c>
      <c r="C135" s="109" t="n">
        <v>36000</v>
      </c>
    </row>
    <row r="136">
      <c r="A136" s="105" t="n">
        <v>46249</v>
      </c>
      <c r="B136" s="106" t="inlineStr">
        <is>
          <t>GO Cuota</t>
        </is>
      </c>
      <c r="C136" s="107" t="n">
        <v>49200</v>
      </c>
    </row>
    <row r="137">
      <c r="A137" s="53" t="n">
        <v>46256</v>
      </c>
      <c r="B137" s="77" t="inlineStr">
        <is>
          <t>GO Cuota</t>
        </is>
      </c>
      <c r="C137" s="109" t="n">
        <v>56400</v>
      </c>
    </row>
    <row r="138">
      <c r="A138" s="43" t="n"/>
    </row>
    <row r="139">
      <c r="A139" s="43" t="n"/>
    </row>
    <row r="140">
      <c r="A140" s="43" t="n"/>
    </row>
    <row r="141">
      <c r="A141" s="43" t="n"/>
    </row>
    <row r="142">
      <c r="A142" s="43" t="n"/>
    </row>
    <row r="143">
      <c r="A143" s="43" t="n"/>
    </row>
    <row r="144">
      <c r="A144" s="43" t="n"/>
    </row>
    <row r="145">
      <c r="A145" s="43" t="n"/>
    </row>
    <row r="146">
      <c r="A146" s="43" t="n"/>
    </row>
    <row r="147">
      <c r="A147" s="43" t="n"/>
    </row>
    <row r="148">
      <c r="A148" s="43" t="n"/>
    </row>
    <row r="149">
      <c r="A149" s="43" t="n"/>
    </row>
    <row r="150">
      <c r="A150" s="43" t="n"/>
    </row>
    <row r="151">
      <c r="A151" s="43" t="n"/>
    </row>
    <row r="152">
      <c r="A152" s="43" t="n"/>
    </row>
    <row r="153">
      <c r="A153" s="43" t="n"/>
    </row>
    <row r="154">
      <c r="A154" s="43" t="n"/>
    </row>
    <row r="155">
      <c r="A155" s="43" t="n"/>
    </row>
    <row r="156">
      <c r="A156" s="43" t="n"/>
    </row>
    <row r="157">
      <c r="A157" s="43" t="n"/>
    </row>
    <row r="158">
      <c r="A158" s="43" t="n"/>
    </row>
    <row r="159">
      <c r="A159" s="43" t="n"/>
    </row>
    <row r="160">
      <c r="A160" s="43" t="n"/>
    </row>
    <row r="161">
      <c r="A161" s="43" t="n"/>
    </row>
    <row r="162">
      <c r="A162" s="43" t="n"/>
    </row>
    <row r="163">
      <c r="A163" s="43" t="n"/>
    </row>
    <row r="164">
      <c r="A164" s="43" t="n"/>
    </row>
    <row r="165">
      <c r="A165" s="43" t="n"/>
    </row>
    <row r="166">
      <c r="A166" s="43" t="n"/>
    </row>
    <row r="167">
      <c r="A167" s="43" t="n"/>
    </row>
    <row r="168">
      <c r="A168" s="43" t="n"/>
    </row>
    <row r="169">
      <c r="A169" s="43" t="n"/>
    </row>
    <row r="170">
      <c r="A170" s="43" t="n"/>
    </row>
    <row r="171">
      <c r="A171" s="43" t="n"/>
    </row>
    <row r="172">
      <c r="A172" s="43" t="n"/>
    </row>
    <row r="173">
      <c r="A173" s="43" t="n"/>
    </row>
    <row r="174">
      <c r="A174" s="43" t="n"/>
    </row>
    <row r="175">
      <c r="A175" s="43" t="n"/>
    </row>
    <row r="176">
      <c r="A176" s="43" t="n"/>
    </row>
    <row r="177">
      <c r="A177" s="43" t="n"/>
    </row>
    <row r="178">
      <c r="A178" s="43" t="n"/>
    </row>
    <row r="179">
      <c r="A179" s="43" t="n"/>
    </row>
    <row r="180">
      <c r="A180" s="43" t="n"/>
    </row>
    <row r="181">
      <c r="A181" s="43" t="n"/>
    </row>
    <row r="182">
      <c r="A182" s="43" t="n"/>
    </row>
    <row r="183">
      <c r="A183" s="43" t="n"/>
    </row>
    <row r="184">
      <c r="A184" s="43" t="n"/>
    </row>
    <row r="185">
      <c r="A185" s="43" t="n"/>
    </row>
    <row r="186">
      <c r="A186" s="43" t="n"/>
    </row>
    <row r="187">
      <c r="A187" s="43" t="n"/>
    </row>
    <row r="188">
      <c r="A188" s="43" t="n"/>
    </row>
    <row r="189">
      <c r="A189" s="43" t="n"/>
    </row>
    <row r="190">
      <c r="A190" s="43" t="n"/>
    </row>
    <row r="191">
      <c r="A191" s="43" t="n"/>
    </row>
    <row r="192">
      <c r="A192" s="43" t="n"/>
    </row>
    <row r="193">
      <c r="A193" s="43" t="n"/>
    </row>
    <row r="194">
      <c r="A194" s="43" t="n"/>
    </row>
    <row r="195">
      <c r="A195" s="43" t="n"/>
    </row>
    <row r="196">
      <c r="A196" s="43" t="n"/>
    </row>
    <row r="197">
      <c r="A197" s="43" t="n"/>
    </row>
    <row r="198">
      <c r="A198" s="43" t="n"/>
    </row>
    <row r="199">
      <c r="A199" s="43" t="n"/>
    </row>
    <row r="200">
      <c r="A200" s="43" t="n"/>
    </row>
    <row r="201">
      <c r="A201" s="43" t="n"/>
    </row>
    <row r="202">
      <c r="A202" s="43" t="n"/>
    </row>
    <row r="203">
      <c r="A203" s="43" t="n"/>
    </row>
    <row r="204">
      <c r="A204" s="43" t="n"/>
    </row>
    <row r="205">
      <c r="A205" s="43" t="n"/>
    </row>
    <row r="206">
      <c r="A206" s="43" t="n"/>
    </row>
    <row r="207">
      <c r="A207" s="43" t="n"/>
    </row>
    <row r="208">
      <c r="A208" s="43" t="n"/>
    </row>
    <row r="209">
      <c r="A209" s="43" t="n"/>
    </row>
    <row r="210">
      <c r="A210" s="43" t="n"/>
    </row>
    <row r="211">
      <c r="A211" s="43" t="n"/>
    </row>
    <row r="212">
      <c r="A212" s="43" t="n"/>
    </row>
    <row r="213">
      <c r="A213" s="43" t="n"/>
    </row>
    <row r="214">
      <c r="A214" s="43" t="n"/>
    </row>
    <row r="215">
      <c r="A215" s="43" t="n"/>
    </row>
    <row r="216">
      <c r="A216" s="43" t="n"/>
    </row>
    <row r="217">
      <c r="A217" s="43" t="n"/>
    </row>
    <row r="218">
      <c r="A218" s="43" t="n"/>
    </row>
    <row r="219">
      <c r="A219" s="43" t="n"/>
    </row>
    <row r="220">
      <c r="A220" s="43" t="n"/>
    </row>
    <row r="221">
      <c r="A221" s="43" t="n"/>
    </row>
    <row r="222">
      <c r="A222" s="43" t="n"/>
    </row>
    <row r="223">
      <c r="A223" s="43" t="n"/>
    </row>
    <row r="224">
      <c r="A224" s="43" t="n"/>
    </row>
    <row r="225">
      <c r="A225" s="43" t="n"/>
    </row>
    <row r="226">
      <c r="A226" s="43" t="n"/>
    </row>
    <row r="227">
      <c r="A227" s="43" t="n"/>
    </row>
    <row r="228">
      <c r="A228" s="43" t="n"/>
    </row>
    <row r="229">
      <c r="A229" s="43" t="n"/>
    </row>
    <row r="230">
      <c r="A230" s="43" t="n"/>
    </row>
    <row r="231">
      <c r="A231" s="43" t="n"/>
    </row>
    <row r="232">
      <c r="A232" s="43" t="n"/>
    </row>
    <row r="233">
      <c r="A233" s="43" t="n"/>
    </row>
    <row r="234">
      <c r="A234" s="43" t="n"/>
    </row>
    <row r="235">
      <c r="A235" s="43" t="n"/>
    </row>
    <row r="236">
      <c r="A236" s="43" t="n"/>
    </row>
    <row r="237">
      <c r="A237" s="43" t="n"/>
    </row>
    <row r="238">
      <c r="A238" s="43" t="n"/>
    </row>
    <row r="239">
      <c r="A239" s="43" t="n"/>
    </row>
    <row r="240">
      <c r="A240" s="43" t="n"/>
    </row>
    <row r="241">
      <c r="A241" s="43" t="n"/>
    </row>
    <row r="242">
      <c r="A242" s="43" t="n"/>
    </row>
    <row r="243">
      <c r="A243" s="43" t="n"/>
    </row>
    <row r="244">
      <c r="A244" s="43" t="n"/>
    </row>
    <row r="245">
      <c r="A245" s="43" t="n"/>
    </row>
    <row r="246">
      <c r="A246" s="43" t="n"/>
    </row>
    <row r="247">
      <c r="A247" s="43" t="n"/>
    </row>
    <row r="248">
      <c r="A248" s="43" t="n"/>
    </row>
    <row r="249">
      <c r="A249" s="43" t="n"/>
    </row>
    <row r="250">
      <c r="A250" s="43" t="n"/>
    </row>
    <row r="251">
      <c r="A251" s="43" t="n"/>
    </row>
    <row r="252">
      <c r="A252" s="43" t="n"/>
    </row>
    <row r="253">
      <c r="A253" s="43" t="n"/>
    </row>
    <row r="254">
      <c r="A254" s="43" t="n"/>
    </row>
    <row r="255">
      <c r="A255" s="43" t="n"/>
    </row>
    <row r="256">
      <c r="A256" s="43" t="n"/>
    </row>
    <row r="257">
      <c r="A257" s="43" t="n"/>
    </row>
    <row r="258">
      <c r="A258" s="43" t="n"/>
    </row>
    <row r="259">
      <c r="A259" s="43" t="n"/>
    </row>
    <row r="260">
      <c r="A260" s="43" t="n"/>
    </row>
    <row r="261">
      <c r="A261" s="43" t="n"/>
    </row>
    <row r="262">
      <c r="A262" s="43" t="n"/>
    </row>
    <row r="263">
      <c r="A263" s="43" t="n"/>
    </row>
    <row r="264">
      <c r="A264" s="43" t="n"/>
    </row>
    <row r="265">
      <c r="A265" s="43" t="n"/>
    </row>
    <row r="266">
      <c r="A266" s="43" t="n"/>
    </row>
    <row r="267">
      <c r="A267" s="43" t="n"/>
    </row>
    <row r="268">
      <c r="A268" s="43" t="n"/>
    </row>
    <row r="269">
      <c r="A269" s="43" t="n"/>
    </row>
    <row r="270">
      <c r="A270" s="43" t="n"/>
    </row>
    <row r="271">
      <c r="A271" s="43" t="n"/>
    </row>
    <row r="272">
      <c r="A272" s="43" t="n"/>
    </row>
    <row r="273">
      <c r="A273" s="43" t="n"/>
    </row>
    <row r="274">
      <c r="A274" s="43" t="n"/>
    </row>
    <row r="275">
      <c r="A275" s="43" t="n"/>
    </row>
    <row r="276">
      <c r="A276" s="43" t="n"/>
    </row>
    <row r="277">
      <c r="A277" s="43" t="n"/>
    </row>
    <row r="278">
      <c r="A278" s="43" t="n"/>
    </row>
    <row r="279">
      <c r="A279" s="43" t="n"/>
    </row>
    <row r="280">
      <c r="A280" s="43" t="n"/>
    </row>
    <row r="281">
      <c r="A281" s="43" t="n"/>
    </row>
    <row r="282">
      <c r="A282" s="43" t="n"/>
    </row>
    <row r="283">
      <c r="A283" s="43" t="n"/>
    </row>
    <row r="284">
      <c r="A284" s="43" t="n"/>
    </row>
    <row r="285">
      <c r="A285" s="43" t="n"/>
    </row>
    <row r="286">
      <c r="A286" s="43" t="n"/>
    </row>
    <row r="287">
      <c r="A287" s="43" t="n"/>
    </row>
    <row r="288">
      <c r="A288" s="43" t="n"/>
    </row>
    <row r="289">
      <c r="A289" s="43" t="n"/>
    </row>
    <row r="290">
      <c r="A290" s="43" t="n"/>
    </row>
    <row r="291">
      <c r="A291" s="43" t="n"/>
    </row>
    <row r="292">
      <c r="A292" s="43" t="n"/>
    </row>
    <row r="293">
      <c r="A293" s="43" t="n"/>
    </row>
    <row r="294">
      <c r="A294" s="43" t="n"/>
    </row>
    <row r="295">
      <c r="A295" s="43" t="n"/>
    </row>
    <row r="296">
      <c r="A296" s="43" t="n"/>
    </row>
    <row r="297">
      <c r="A297" s="43" t="n"/>
    </row>
    <row r="298">
      <c r="A298" s="43" t="n"/>
    </row>
    <row r="299">
      <c r="A299" s="43" t="n"/>
    </row>
    <row r="300">
      <c r="A300" s="43" t="n"/>
    </row>
    <row r="301">
      <c r="A301" s="43" t="n"/>
    </row>
    <row r="302">
      <c r="A302" s="43" t="n"/>
    </row>
    <row r="303">
      <c r="A303" s="43" t="n"/>
    </row>
    <row r="304">
      <c r="A304" s="43" t="n"/>
    </row>
    <row r="305">
      <c r="A305" s="43" t="n"/>
    </row>
    <row r="306">
      <c r="A306" s="43" t="n"/>
    </row>
    <row r="307">
      <c r="A307" s="43" t="n"/>
    </row>
    <row r="308">
      <c r="A308" s="43" t="n"/>
    </row>
    <row r="309">
      <c r="A309" s="43" t="n"/>
    </row>
    <row r="310">
      <c r="A310" s="43" t="n"/>
    </row>
    <row r="311">
      <c r="A311" s="43" t="n"/>
    </row>
    <row r="312">
      <c r="A312" s="43" t="n"/>
    </row>
    <row r="313">
      <c r="A313" s="43" t="n"/>
    </row>
    <row r="314">
      <c r="A314" s="43" t="n"/>
    </row>
    <row r="315">
      <c r="A315" s="43" t="n"/>
    </row>
    <row r="316">
      <c r="A316" s="43" t="n"/>
    </row>
    <row r="317">
      <c r="A317" s="43" t="n"/>
    </row>
    <row r="318">
      <c r="A318" s="43" t="n"/>
    </row>
    <row r="319">
      <c r="A319" s="43" t="n"/>
    </row>
    <row r="320">
      <c r="A320" s="43" t="n"/>
    </row>
    <row r="321">
      <c r="A321" s="43" t="n"/>
    </row>
    <row r="322">
      <c r="A322" s="43" t="n"/>
    </row>
    <row r="323">
      <c r="A323" s="43" t="n"/>
    </row>
    <row r="324">
      <c r="A324" s="43" t="n"/>
    </row>
    <row r="325">
      <c r="A325" s="43" t="n"/>
    </row>
    <row r="326">
      <c r="A326" s="43" t="n"/>
    </row>
    <row r="327">
      <c r="A327" s="43" t="n"/>
    </row>
    <row r="328">
      <c r="A328" s="43" t="n"/>
    </row>
    <row r="329">
      <c r="A329" s="43" t="n"/>
    </row>
    <row r="330">
      <c r="A330" s="43" t="n"/>
    </row>
    <row r="331">
      <c r="A331" s="43" t="n"/>
    </row>
    <row r="332">
      <c r="A332" s="43" t="n"/>
    </row>
    <row r="333">
      <c r="A333" s="43" t="n"/>
    </row>
    <row r="334">
      <c r="A334" s="43" t="n"/>
    </row>
    <row r="335">
      <c r="A335" s="43" t="n"/>
    </row>
    <row r="336">
      <c r="A336" s="43" t="n"/>
    </row>
    <row r="337">
      <c r="A337" s="43" t="n"/>
    </row>
    <row r="338">
      <c r="A338" s="43" t="n"/>
    </row>
    <row r="339">
      <c r="A339" s="43" t="n"/>
    </row>
    <row r="340">
      <c r="A340" s="43" t="n"/>
    </row>
    <row r="341">
      <c r="A341" s="43" t="n"/>
    </row>
    <row r="342">
      <c r="A342" s="43" t="n"/>
    </row>
    <row r="343">
      <c r="A343" s="43" t="n"/>
    </row>
    <row r="344">
      <c r="A344" s="43" t="n"/>
    </row>
    <row r="345">
      <c r="A345" s="43" t="n"/>
    </row>
    <row r="346">
      <c r="A346" s="43" t="n"/>
    </row>
    <row r="347">
      <c r="A347" s="43" t="n"/>
    </row>
    <row r="348">
      <c r="A348" s="43" t="n"/>
    </row>
    <row r="349">
      <c r="A349" s="43" t="n"/>
    </row>
    <row r="350">
      <c r="A350" s="43" t="n"/>
    </row>
    <row r="351">
      <c r="A351" s="43" t="n"/>
    </row>
    <row r="352">
      <c r="A352" s="43" t="n"/>
    </row>
    <row r="353">
      <c r="A353" s="43" t="n"/>
    </row>
    <row r="354">
      <c r="A354" s="43" t="n"/>
    </row>
    <row r="355">
      <c r="A355" s="43" t="n"/>
    </row>
    <row r="356">
      <c r="A356" s="43" t="n"/>
    </row>
    <row r="357">
      <c r="A357" s="43" t="n"/>
    </row>
    <row r="358">
      <c r="A358" s="43" t="n"/>
    </row>
    <row r="359">
      <c r="A359" s="43" t="n"/>
    </row>
    <row r="360">
      <c r="A360" s="43" t="n"/>
    </row>
    <row r="361">
      <c r="A361" s="43" t="n"/>
    </row>
    <row r="362">
      <c r="A362" s="43" t="n"/>
    </row>
    <row r="363">
      <c r="A363" s="43" t="n"/>
    </row>
    <row r="364">
      <c r="A364" s="43" t="n"/>
    </row>
    <row r="365">
      <c r="A365" s="43" t="n"/>
    </row>
    <row r="366">
      <c r="A366" s="43" t="n"/>
    </row>
    <row r="367">
      <c r="A367" s="43" t="n"/>
    </row>
    <row r="368">
      <c r="A368" s="43" t="n"/>
    </row>
    <row r="369">
      <c r="A369" s="43" t="n"/>
    </row>
    <row r="370">
      <c r="A370" s="43" t="n"/>
    </row>
    <row r="371">
      <c r="A371" s="43" t="n"/>
    </row>
    <row r="372">
      <c r="A372" s="43" t="n"/>
    </row>
    <row r="373">
      <c r="A373" s="43" t="n"/>
    </row>
    <row r="374">
      <c r="A374" s="43" t="n"/>
    </row>
    <row r="375">
      <c r="A375" s="43" t="n"/>
    </row>
    <row r="376">
      <c r="A376" s="43" t="n"/>
    </row>
    <row r="377">
      <c r="A377" s="43" t="n"/>
    </row>
    <row r="378">
      <c r="A378" s="43" t="n"/>
    </row>
    <row r="379">
      <c r="A379" s="43" t="n"/>
    </row>
    <row r="380">
      <c r="A380" s="43" t="n"/>
    </row>
    <row r="381">
      <c r="A381" s="43" t="n"/>
    </row>
    <row r="382">
      <c r="A382" s="43" t="n"/>
    </row>
    <row r="383">
      <c r="A383" s="43" t="n"/>
    </row>
    <row r="384">
      <c r="A384" s="43" t="n"/>
    </row>
    <row r="385">
      <c r="A385" s="43" t="n"/>
    </row>
    <row r="386">
      <c r="A386" s="43" t="n"/>
    </row>
    <row r="387">
      <c r="A387" s="43" t="n"/>
    </row>
    <row r="388">
      <c r="A388" s="43" t="n"/>
    </row>
    <row r="389">
      <c r="A389" s="43" t="n"/>
    </row>
    <row r="390">
      <c r="A390" s="43" t="n"/>
    </row>
    <row r="391">
      <c r="A391" s="43" t="n"/>
    </row>
    <row r="392">
      <c r="A392" s="43" t="n"/>
    </row>
    <row r="393">
      <c r="A393" s="43" t="n"/>
    </row>
    <row r="394">
      <c r="A394" s="43" t="n"/>
    </row>
    <row r="395">
      <c r="A395" s="43" t="n"/>
    </row>
    <row r="396">
      <c r="A396" s="43" t="n"/>
    </row>
    <row r="397">
      <c r="A397" s="43" t="n"/>
    </row>
    <row r="398">
      <c r="A398" s="43" t="n"/>
    </row>
    <row r="399">
      <c r="A399" s="43" t="n"/>
    </row>
    <row r="400">
      <c r="A400" s="43" t="n"/>
    </row>
    <row r="401">
      <c r="A401" s="43" t="n"/>
    </row>
    <row r="402">
      <c r="A402" s="43" t="n"/>
    </row>
    <row r="403">
      <c r="A403" s="43" t="n"/>
    </row>
    <row r="404">
      <c r="A404" s="43" t="n"/>
    </row>
    <row r="405">
      <c r="A405" s="43" t="n"/>
    </row>
    <row r="406">
      <c r="A406" s="43" t="n"/>
    </row>
    <row r="407">
      <c r="A407" s="43" t="n"/>
    </row>
    <row r="408">
      <c r="A408" s="43" t="n"/>
    </row>
    <row r="409">
      <c r="A409" s="43" t="n"/>
    </row>
    <row r="410">
      <c r="A410" s="43" t="n"/>
    </row>
    <row r="411">
      <c r="A411" s="43" t="n"/>
    </row>
    <row r="412">
      <c r="A412" s="43" t="n"/>
    </row>
    <row r="413">
      <c r="A413" s="43" t="n"/>
    </row>
    <row r="414">
      <c r="A414" s="43" t="n"/>
    </row>
    <row r="415">
      <c r="A415" s="43" t="n"/>
    </row>
    <row r="416">
      <c r="A416" s="43" t="n"/>
    </row>
    <row r="417">
      <c r="A417" s="43" t="n"/>
    </row>
    <row r="418">
      <c r="A418" s="43" t="n"/>
    </row>
    <row r="419">
      <c r="A419" s="43" t="n"/>
    </row>
    <row r="420">
      <c r="A420" s="43" t="n"/>
    </row>
    <row r="421">
      <c r="A421" s="43" t="n"/>
    </row>
    <row r="422">
      <c r="A422" s="43" t="n"/>
    </row>
    <row r="423">
      <c r="A423" s="43" t="n"/>
    </row>
    <row r="424">
      <c r="A424" s="43" t="n"/>
    </row>
    <row r="425">
      <c r="A425" s="43" t="n"/>
    </row>
    <row r="426">
      <c r="A426" s="43" t="n"/>
    </row>
    <row r="427">
      <c r="A427" s="43" t="n"/>
    </row>
    <row r="428">
      <c r="A428" s="43" t="n"/>
    </row>
    <row r="429">
      <c r="A429" s="43" t="n"/>
    </row>
    <row r="430">
      <c r="A430" s="43" t="n"/>
    </row>
    <row r="431">
      <c r="A431" s="43" t="n"/>
    </row>
    <row r="432">
      <c r="A432" s="43" t="n"/>
    </row>
    <row r="433">
      <c r="A433" s="43" t="n"/>
    </row>
    <row r="434">
      <c r="A434" s="43" t="n"/>
    </row>
    <row r="435">
      <c r="A435" s="43" t="n"/>
    </row>
    <row r="436">
      <c r="A436" s="43" t="n"/>
    </row>
    <row r="437">
      <c r="A437" s="43" t="n"/>
    </row>
    <row r="438">
      <c r="A438" s="43" t="n"/>
    </row>
    <row r="439">
      <c r="A439" s="43" t="n"/>
    </row>
    <row r="440">
      <c r="A440" s="43" t="n"/>
    </row>
    <row r="441">
      <c r="A441" s="43" t="n"/>
    </row>
    <row r="442">
      <c r="A442" s="43" t="n"/>
    </row>
    <row r="443">
      <c r="A443" s="43" t="n"/>
    </row>
    <row r="444">
      <c r="A444" s="43" t="n"/>
    </row>
    <row r="445">
      <c r="A445" s="43" t="n"/>
    </row>
    <row r="446">
      <c r="A446" s="43" t="n"/>
    </row>
    <row r="447">
      <c r="A447" s="43" t="n"/>
    </row>
    <row r="448">
      <c r="A448" s="43" t="n"/>
    </row>
    <row r="449">
      <c r="A449" s="43" t="n"/>
    </row>
    <row r="450">
      <c r="A450" s="43" t="n"/>
    </row>
    <row r="451">
      <c r="A451" s="43" t="n"/>
    </row>
    <row r="452">
      <c r="A452" s="43" t="n"/>
    </row>
    <row r="453">
      <c r="A453" s="43" t="n"/>
    </row>
    <row r="454">
      <c r="A454" s="43" t="n"/>
    </row>
    <row r="455">
      <c r="A455" s="43" t="n"/>
    </row>
    <row r="456">
      <c r="A456" s="43" t="n"/>
    </row>
    <row r="457">
      <c r="A457" s="43" t="n"/>
    </row>
    <row r="458">
      <c r="A458" s="43" t="n"/>
    </row>
    <row r="459">
      <c r="A459" s="43" t="n"/>
    </row>
    <row r="460">
      <c r="A460" s="43" t="n"/>
    </row>
    <row r="461">
      <c r="A461" s="43" t="n"/>
    </row>
    <row r="462">
      <c r="A462" s="43" t="n"/>
    </row>
    <row r="463">
      <c r="A463" s="43" t="n"/>
    </row>
    <row r="464">
      <c r="A464" s="43" t="n"/>
    </row>
    <row r="465">
      <c r="A465" s="43" t="n"/>
    </row>
    <row r="466">
      <c r="A466" s="43" t="n"/>
    </row>
    <row r="467">
      <c r="A467" s="43" t="n"/>
    </row>
    <row r="468">
      <c r="A468" s="43" t="n"/>
    </row>
    <row r="469">
      <c r="A469" s="43" t="n"/>
    </row>
    <row r="470">
      <c r="A470" s="43" t="n"/>
    </row>
    <row r="471">
      <c r="A471" s="43" t="n"/>
    </row>
    <row r="472">
      <c r="A472" s="43" t="n"/>
    </row>
    <row r="473">
      <c r="A473" s="43" t="n"/>
    </row>
    <row r="474">
      <c r="A474" s="43" t="n"/>
    </row>
    <row r="475">
      <c r="A475" s="43" t="n"/>
    </row>
    <row r="476">
      <c r="A476" s="43" t="n"/>
    </row>
    <row r="477">
      <c r="A477" s="43" t="n"/>
    </row>
    <row r="478">
      <c r="A478" s="43" t="n"/>
    </row>
    <row r="479">
      <c r="A479" s="43" t="n"/>
    </row>
    <row r="480">
      <c r="A480" s="43" t="n"/>
    </row>
    <row r="481">
      <c r="A481" s="43" t="n"/>
    </row>
    <row r="482">
      <c r="A482" s="43" t="n"/>
    </row>
    <row r="483">
      <c r="A483" s="43" t="n"/>
    </row>
    <row r="484">
      <c r="A484" s="43" t="n"/>
    </row>
    <row r="485">
      <c r="A485" s="43" t="n"/>
    </row>
    <row r="486">
      <c r="A486" s="43" t="n"/>
    </row>
    <row r="487">
      <c r="A487" s="43" t="n"/>
    </row>
    <row r="488">
      <c r="A488" s="43" t="n"/>
    </row>
    <row r="489">
      <c r="A489" s="43" t="n"/>
    </row>
    <row r="490">
      <c r="A490" s="43" t="n"/>
    </row>
    <row r="491">
      <c r="A491" s="43" t="n"/>
    </row>
    <row r="492">
      <c r="A492" s="43" t="n"/>
    </row>
    <row r="493">
      <c r="A493" s="43" t="n"/>
    </row>
    <row r="494">
      <c r="A494" s="43" t="n"/>
    </row>
    <row r="495">
      <c r="A495" s="43" t="n"/>
    </row>
    <row r="496">
      <c r="A496" s="43" t="n"/>
    </row>
    <row r="497">
      <c r="A497" s="43" t="n"/>
    </row>
    <row r="498">
      <c r="A498" s="43" t="n"/>
    </row>
    <row r="499">
      <c r="A499" s="43" t="n"/>
    </row>
    <row r="500">
      <c r="A500" s="43" t="n"/>
    </row>
    <row r="501">
      <c r="A501" s="43" t="n"/>
    </row>
    <row r="502">
      <c r="A502" s="43" t="n"/>
    </row>
    <row r="503">
      <c r="A503" s="43" t="n"/>
    </row>
    <row r="504">
      <c r="A504" s="43" t="n"/>
    </row>
    <row r="505">
      <c r="A505" s="43" t="n"/>
    </row>
    <row r="506">
      <c r="A506" s="43" t="n"/>
    </row>
    <row r="507">
      <c r="A507" s="43" t="n"/>
    </row>
    <row r="508">
      <c r="A508" s="43" t="n"/>
    </row>
    <row r="509">
      <c r="A509" s="43" t="n"/>
    </row>
    <row r="510">
      <c r="A510" s="43" t="n"/>
    </row>
    <row r="511">
      <c r="A511" s="43" t="n"/>
    </row>
    <row r="512">
      <c r="A512" s="43" t="n"/>
    </row>
    <row r="513">
      <c r="A513" s="43" t="n"/>
    </row>
    <row r="514">
      <c r="A514" s="43" t="n"/>
    </row>
    <row r="515">
      <c r="A515" s="43" t="n"/>
    </row>
    <row r="516">
      <c r="A516" s="43" t="n"/>
    </row>
    <row r="517">
      <c r="A517" s="43" t="n"/>
    </row>
    <row r="518">
      <c r="A518" s="43" t="n"/>
    </row>
    <row r="519">
      <c r="A519" s="43" t="n"/>
    </row>
    <row r="520">
      <c r="A520" s="43" t="n"/>
    </row>
    <row r="521">
      <c r="A521" s="43" t="n"/>
    </row>
    <row r="522">
      <c r="A522" s="43" t="n"/>
    </row>
    <row r="523">
      <c r="A523" s="43" t="n"/>
    </row>
    <row r="524">
      <c r="A524" s="43" t="n"/>
    </row>
    <row r="525">
      <c r="A525" s="43" t="n"/>
    </row>
    <row r="526">
      <c r="A526" s="43" t="n"/>
    </row>
    <row r="527">
      <c r="A527" s="43" t="n"/>
    </row>
    <row r="528">
      <c r="A528" s="43" t="n"/>
    </row>
    <row r="529">
      <c r="A529" s="43" t="n"/>
    </row>
    <row r="530">
      <c r="A530" s="43" t="n"/>
    </row>
    <row r="531">
      <c r="A531" s="43" t="n"/>
    </row>
    <row r="532">
      <c r="A532" s="43" t="n"/>
    </row>
    <row r="533">
      <c r="A533" s="43" t="n"/>
    </row>
    <row r="534">
      <c r="A534" s="43" t="n"/>
    </row>
    <row r="535">
      <c r="A535" s="43" t="n"/>
    </row>
    <row r="536">
      <c r="A536" s="43" t="n"/>
    </row>
    <row r="537">
      <c r="A537" s="43" t="n"/>
    </row>
    <row r="538">
      <c r="A538" s="43" t="n"/>
    </row>
    <row r="539">
      <c r="A539" s="43" t="n"/>
    </row>
    <row r="540">
      <c r="A540" s="43" t="n"/>
    </row>
    <row r="541">
      <c r="A541" s="43" t="n"/>
    </row>
    <row r="542">
      <c r="A542" s="43" t="n"/>
    </row>
    <row r="543">
      <c r="A543" s="43" t="n"/>
    </row>
    <row r="544">
      <c r="A544" s="43" t="n"/>
    </row>
    <row r="545">
      <c r="A545" s="43" t="n"/>
    </row>
    <row r="546">
      <c r="A546" s="43" t="n"/>
    </row>
    <row r="547">
      <c r="A547" s="43" t="n"/>
    </row>
    <row r="548">
      <c r="A548" s="43" t="n"/>
    </row>
    <row r="549">
      <c r="A549" s="43" t="n"/>
    </row>
    <row r="550">
      <c r="A550" s="43" t="n"/>
    </row>
    <row r="551">
      <c r="A551" s="43" t="n"/>
    </row>
    <row r="552">
      <c r="A552" s="43" t="n"/>
    </row>
    <row r="553">
      <c r="A553" s="43" t="n"/>
    </row>
    <row r="554">
      <c r="A554" s="43" t="n"/>
    </row>
    <row r="555">
      <c r="A555" s="43" t="n"/>
    </row>
    <row r="556">
      <c r="A556" s="43" t="n"/>
    </row>
    <row r="557">
      <c r="A557" s="43" t="n"/>
    </row>
    <row r="558">
      <c r="A558" s="43" t="n"/>
    </row>
    <row r="559">
      <c r="A559" s="43" t="n"/>
    </row>
    <row r="560">
      <c r="A560" s="43" t="n"/>
    </row>
    <row r="561">
      <c r="A561" s="43" t="n"/>
    </row>
    <row r="562">
      <c r="A562" s="43" t="n"/>
    </row>
    <row r="563">
      <c r="A563" s="43" t="n"/>
    </row>
    <row r="564">
      <c r="A564" s="43" t="n"/>
    </row>
    <row r="565">
      <c r="A565" s="43" t="n"/>
    </row>
    <row r="566">
      <c r="A566" s="43" t="n"/>
    </row>
    <row r="567">
      <c r="A567" s="43" t="n"/>
    </row>
    <row r="568">
      <c r="A568" s="43" t="n"/>
    </row>
    <row r="569">
      <c r="A569" s="43" t="n"/>
    </row>
    <row r="570">
      <c r="A570" s="43" t="n"/>
    </row>
    <row r="571">
      <c r="A571" s="43" t="n"/>
    </row>
    <row r="572">
      <c r="A572" s="43" t="n"/>
    </row>
    <row r="573">
      <c r="A573" s="43" t="n"/>
    </row>
    <row r="574">
      <c r="A574" s="43" t="n"/>
    </row>
    <row r="575">
      <c r="A575" s="43" t="n"/>
    </row>
    <row r="576">
      <c r="A576" s="43" t="n"/>
    </row>
    <row r="577">
      <c r="A577" s="43" t="n"/>
    </row>
    <row r="578">
      <c r="A578" s="43" t="n"/>
    </row>
    <row r="579">
      <c r="A579" s="43" t="n"/>
    </row>
    <row r="580">
      <c r="A580" s="43" t="n"/>
    </row>
    <row r="581">
      <c r="A581" s="43" t="n"/>
    </row>
    <row r="582">
      <c r="A582" s="43" t="n"/>
    </row>
    <row r="583">
      <c r="A583" s="43" t="n"/>
    </row>
    <row r="584">
      <c r="A584" s="43" t="n"/>
    </row>
    <row r="585">
      <c r="A585" s="43" t="n"/>
    </row>
    <row r="586">
      <c r="A586" s="43" t="n"/>
    </row>
    <row r="587">
      <c r="A587" s="43" t="n"/>
    </row>
    <row r="588">
      <c r="A588" s="43" t="n"/>
    </row>
    <row r="589">
      <c r="A589" s="43" t="n"/>
    </row>
    <row r="590">
      <c r="A590" s="43" t="n"/>
    </row>
    <row r="591">
      <c r="A591" s="43" t="n"/>
    </row>
    <row r="592">
      <c r="A592" s="43" t="n"/>
    </row>
    <row r="593">
      <c r="A593" s="43" t="n"/>
    </row>
    <row r="594">
      <c r="A594" s="43" t="n"/>
    </row>
    <row r="595">
      <c r="A595" s="43" t="n"/>
    </row>
    <row r="596">
      <c r="A596" s="43" t="n"/>
    </row>
    <row r="597">
      <c r="A597" s="43" t="n"/>
    </row>
    <row r="598">
      <c r="A598" s="43" t="n"/>
    </row>
    <row r="599">
      <c r="A599" s="43" t="n"/>
    </row>
    <row r="600">
      <c r="A600" s="43" t="n"/>
    </row>
    <row r="601">
      <c r="A601" s="43" t="n"/>
    </row>
    <row r="602">
      <c r="A602" s="43" t="n"/>
    </row>
    <row r="603">
      <c r="A603" s="43" t="n"/>
    </row>
    <row r="604">
      <c r="A604" s="43" t="n"/>
    </row>
    <row r="605">
      <c r="A605" s="43" t="n"/>
    </row>
    <row r="606">
      <c r="A606" s="43" t="n"/>
    </row>
    <row r="607">
      <c r="A607" s="43" t="n"/>
    </row>
    <row r="608">
      <c r="A608" s="43" t="n"/>
    </row>
    <row r="609">
      <c r="A609" s="43" t="n"/>
    </row>
    <row r="610">
      <c r="A610" s="43" t="n"/>
    </row>
    <row r="611">
      <c r="A611" s="43" t="n"/>
    </row>
    <row r="612">
      <c r="A612" s="43" t="n"/>
    </row>
    <row r="613">
      <c r="A613" s="43" t="n"/>
    </row>
    <row r="614">
      <c r="A614" s="43" t="n"/>
    </row>
    <row r="615">
      <c r="A615" s="43" t="n"/>
    </row>
    <row r="616">
      <c r="A616" s="43" t="n"/>
    </row>
    <row r="617">
      <c r="A617" s="43" t="n"/>
    </row>
    <row r="618">
      <c r="A618" s="43" t="n"/>
    </row>
    <row r="619">
      <c r="A619" s="43" t="n"/>
    </row>
    <row r="620">
      <c r="A620" s="43" t="n"/>
    </row>
    <row r="621">
      <c r="A621" s="43" t="n"/>
    </row>
    <row r="622">
      <c r="A622" s="43" t="n"/>
    </row>
    <row r="623">
      <c r="A623" s="43" t="n"/>
    </row>
    <row r="624">
      <c r="A624" s="43" t="n"/>
    </row>
    <row r="625">
      <c r="A625" s="43" t="n"/>
    </row>
    <row r="626">
      <c r="A626" s="43" t="n"/>
    </row>
    <row r="627">
      <c r="A627" s="43" t="n"/>
    </row>
    <row r="628">
      <c r="A628" s="43" t="n"/>
    </row>
    <row r="629">
      <c r="A629" s="43" t="n"/>
    </row>
    <row r="630">
      <c r="A630" s="43" t="n"/>
    </row>
    <row r="631">
      <c r="A631" s="43" t="n"/>
    </row>
    <row r="632">
      <c r="A632" s="43" t="n"/>
    </row>
    <row r="633">
      <c r="A633" s="43" t="n"/>
    </row>
    <row r="634">
      <c r="A634" s="43" t="n"/>
    </row>
    <row r="635">
      <c r="A635" s="43" t="n"/>
    </row>
    <row r="636">
      <c r="A636" s="43" t="n"/>
    </row>
    <row r="637">
      <c r="A637" s="43" t="n"/>
    </row>
    <row r="638">
      <c r="A638" s="43" t="n"/>
    </row>
    <row r="639">
      <c r="A639" s="43" t="n"/>
    </row>
    <row r="640">
      <c r="A640" s="43" t="n"/>
    </row>
    <row r="641">
      <c r="A641" s="43" t="n"/>
    </row>
    <row r="642">
      <c r="A642" s="43" t="n"/>
    </row>
    <row r="643">
      <c r="A643" s="43" t="n"/>
    </row>
    <row r="644">
      <c r="A644" s="43" t="n"/>
    </row>
    <row r="645">
      <c r="A645" s="43" t="n"/>
    </row>
    <row r="646">
      <c r="A646" s="43" t="n"/>
    </row>
    <row r="647">
      <c r="A647" s="43" t="n"/>
    </row>
    <row r="648">
      <c r="A648" s="43" t="n"/>
    </row>
    <row r="649">
      <c r="A649" s="43" t="n"/>
    </row>
    <row r="650">
      <c r="A650" s="43" t="n"/>
    </row>
    <row r="651">
      <c r="A651" s="43" t="n"/>
    </row>
    <row r="652">
      <c r="A652" s="43" t="n"/>
    </row>
    <row r="653">
      <c r="A653" s="43" t="n"/>
    </row>
    <row r="654">
      <c r="A654" s="43" t="n"/>
    </row>
    <row r="655">
      <c r="A655" s="43" t="n"/>
    </row>
    <row r="656">
      <c r="A656" s="43" t="n"/>
    </row>
    <row r="657">
      <c r="A657" s="43" t="n"/>
    </row>
    <row r="658">
      <c r="A658" s="43" t="n"/>
    </row>
    <row r="659">
      <c r="A659" s="43" t="n"/>
    </row>
    <row r="660">
      <c r="A660" s="43" t="n"/>
    </row>
    <row r="661">
      <c r="A661" s="43" t="n"/>
    </row>
    <row r="662">
      <c r="A662" s="43" t="n"/>
    </row>
    <row r="663">
      <c r="A663" s="43" t="n"/>
    </row>
    <row r="664">
      <c r="A664" s="43" t="n"/>
    </row>
    <row r="665">
      <c r="A665" s="43" t="n"/>
    </row>
    <row r="666">
      <c r="A666" s="43" t="n"/>
    </row>
    <row r="667">
      <c r="A667" s="43" t="n"/>
    </row>
    <row r="668">
      <c r="A668" s="43" t="n"/>
    </row>
    <row r="669">
      <c r="A669" s="43" t="n"/>
    </row>
    <row r="670">
      <c r="A670" s="43" t="n"/>
    </row>
    <row r="671">
      <c r="A671" s="43" t="n"/>
    </row>
    <row r="672">
      <c r="A672" s="43" t="n"/>
    </row>
    <row r="673">
      <c r="A673" s="43" t="n"/>
    </row>
    <row r="674">
      <c r="A674" s="43" t="n"/>
    </row>
    <row r="675">
      <c r="A675" s="43" t="n"/>
    </row>
    <row r="676">
      <c r="A676" s="43" t="n"/>
    </row>
    <row r="677">
      <c r="A677" s="43" t="n"/>
    </row>
    <row r="678">
      <c r="A678" s="43" t="n"/>
    </row>
    <row r="679">
      <c r="A679" s="43" t="n"/>
    </row>
    <row r="680">
      <c r="A680" s="43" t="n"/>
    </row>
    <row r="681">
      <c r="A681" s="43" t="n"/>
    </row>
    <row r="682">
      <c r="A682" s="43" t="n"/>
    </row>
    <row r="683">
      <c r="A683" s="43" t="n"/>
    </row>
    <row r="684">
      <c r="A684" s="43" t="n"/>
    </row>
    <row r="685">
      <c r="A685" s="43" t="n"/>
    </row>
    <row r="686">
      <c r="A686" s="43" t="n"/>
    </row>
    <row r="687">
      <c r="A687" s="43" t="n"/>
    </row>
    <row r="688">
      <c r="A688" s="43" t="n"/>
    </row>
    <row r="689">
      <c r="A689" s="43" t="n"/>
    </row>
    <row r="690">
      <c r="A690" s="43" t="n"/>
    </row>
    <row r="691">
      <c r="A691" s="43" t="n"/>
    </row>
    <row r="692">
      <c r="A692" s="43" t="n"/>
    </row>
    <row r="693">
      <c r="A693" s="43" t="n"/>
    </row>
    <row r="694">
      <c r="A694" s="43" t="n"/>
    </row>
    <row r="695">
      <c r="A695" s="43" t="n"/>
    </row>
    <row r="696">
      <c r="A696" s="43" t="n"/>
    </row>
    <row r="697">
      <c r="A697" s="43" t="n"/>
    </row>
    <row r="698">
      <c r="A698" s="43" t="n"/>
    </row>
    <row r="699">
      <c r="A699" s="43" t="n"/>
    </row>
    <row r="700">
      <c r="A700" s="43" t="n"/>
    </row>
    <row r="701">
      <c r="A701" s="43" t="n"/>
    </row>
    <row r="702">
      <c r="A702" s="43" t="n"/>
    </row>
    <row r="703">
      <c r="A703" s="43" t="n"/>
    </row>
    <row r="704">
      <c r="A704" s="43" t="n"/>
    </row>
    <row r="705">
      <c r="A705" s="43" t="n"/>
    </row>
    <row r="706">
      <c r="A706" s="43" t="n"/>
    </row>
    <row r="707">
      <c r="A707" s="43" t="n"/>
    </row>
    <row r="708">
      <c r="A708" s="43" t="n"/>
    </row>
    <row r="709">
      <c r="A709" s="43" t="n"/>
    </row>
    <row r="710">
      <c r="A710" s="43" t="n"/>
    </row>
    <row r="711">
      <c r="A711" s="43" t="n"/>
    </row>
    <row r="712">
      <c r="A712" s="43" t="n"/>
    </row>
    <row r="713">
      <c r="A713" s="43" t="n"/>
    </row>
    <row r="714">
      <c r="A714" s="43" t="n"/>
    </row>
    <row r="715">
      <c r="A715" s="43" t="n"/>
    </row>
    <row r="716">
      <c r="A716" s="43" t="n"/>
    </row>
    <row r="717">
      <c r="A717" s="43" t="n"/>
    </row>
    <row r="718">
      <c r="A718" s="43" t="n"/>
    </row>
    <row r="719">
      <c r="A719" s="43" t="n"/>
    </row>
    <row r="720">
      <c r="A720" s="43" t="n"/>
    </row>
    <row r="721">
      <c r="A721" s="43" t="n"/>
    </row>
    <row r="722">
      <c r="A722" s="43" t="n"/>
    </row>
    <row r="723">
      <c r="A723" s="43" t="n"/>
    </row>
    <row r="724">
      <c r="A724" s="43" t="n"/>
    </row>
    <row r="725">
      <c r="A725" s="43" t="n"/>
    </row>
    <row r="726">
      <c r="A726" s="43" t="n"/>
    </row>
    <row r="727">
      <c r="A727" s="43" t="n"/>
    </row>
    <row r="728">
      <c r="A728" s="43" t="n"/>
    </row>
    <row r="729">
      <c r="A729" s="43" t="n"/>
    </row>
    <row r="730">
      <c r="A730" s="43" t="n"/>
    </row>
    <row r="731">
      <c r="A731" s="43" t="n"/>
    </row>
    <row r="732">
      <c r="A732" s="43" t="n"/>
    </row>
    <row r="733">
      <c r="A733" s="43" t="n"/>
    </row>
    <row r="734">
      <c r="A734" s="43" t="n"/>
    </row>
    <row r="735">
      <c r="A735" s="43" t="n"/>
    </row>
    <row r="736">
      <c r="A736" s="43" t="n"/>
    </row>
    <row r="737">
      <c r="A737" s="43" t="n"/>
    </row>
    <row r="738">
      <c r="A738" s="43" t="n"/>
    </row>
    <row r="739">
      <c r="A739" s="43" t="n"/>
    </row>
    <row r="740">
      <c r="A740" s="43" t="n"/>
    </row>
    <row r="741">
      <c r="A741" s="43" t="n"/>
    </row>
    <row r="742">
      <c r="A742" s="43" t="n"/>
    </row>
    <row r="743">
      <c r="A743" s="43" t="n"/>
    </row>
    <row r="744">
      <c r="A744" s="43" t="n"/>
    </row>
    <row r="745">
      <c r="A745" s="43" t="n"/>
    </row>
    <row r="746">
      <c r="A746" s="43" t="n"/>
    </row>
    <row r="747">
      <c r="A747" s="43" t="n"/>
    </row>
    <row r="748">
      <c r="A748" s="43" t="n"/>
    </row>
    <row r="749">
      <c r="A749" s="43" t="n"/>
    </row>
    <row r="750">
      <c r="A750" s="43" t="n"/>
    </row>
    <row r="751">
      <c r="A751" s="43" t="n"/>
    </row>
    <row r="752">
      <c r="A752" s="43" t="n"/>
    </row>
    <row r="753">
      <c r="A753" s="43" t="n"/>
    </row>
    <row r="754">
      <c r="A754" s="43" t="n"/>
    </row>
    <row r="755">
      <c r="A755" s="43" t="n"/>
    </row>
    <row r="756">
      <c r="A756" s="43" t="n"/>
    </row>
    <row r="757">
      <c r="A757" s="43" t="n"/>
    </row>
    <row r="758">
      <c r="A758" s="43" t="n"/>
    </row>
    <row r="759">
      <c r="A759" s="43" t="n"/>
    </row>
    <row r="760">
      <c r="A760" s="43" t="n"/>
    </row>
    <row r="761">
      <c r="A761" s="43" t="n"/>
    </row>
    <row r="762">
      <c r="A762" s="43" t="n"/>
    </row>
    <row r="763">
      <c r="A763" s="43" t="n"/>
    </row>
    <row r="764">
      <c r="A764" s="43" t="n"/>
    </row>
    <row r="765">
      <c r="A765" s="43" t="n"/>
    </row>
    <row r="766">
      <c r="A766" s="43" t="n"/>
    </row>
    <row r="767">
      <c r="A767" s="43" t="n"/>
    </row>
    <row r="768">
      <c r="A768" s="43" t="n"/>
    </row>
    <row r="769">
      <c r="A769" s="43" t="n"/>
    </row>
    <row r="770">
      <c r="A770" s="43" t="n"/>
    </row>
    <row r="771">
      <c r="A771" s="43" t="n"/>
    </row>
    <row r="772">
      <c r="A772" s="43" t="n"/>
    </row>
    <row r="773">
      <c r="A773" s="43" t="n"/>
    </row>
    <row r="774">
      <c r="A774" s="43" t="n"/>
    </row>
    <row r="775">
      <c r="A775" s="43" t="n"/>
    </row>
    <row r="776">
      <c r="A776" s="43" t="n"/>
    </row>
    <row r="777">
      <c r="A777" s="43" t="n"/>
    </row>
    <row r="778">
      <c r="A778" s="43" t="n"/>
    </row>
    <row r="779">
      <c r="A779" s="43" t="n"/>
    </row>
    <row r="780">
      <c r="A780" s="43" t="n"/>
    </row>
    <row r="781">
      <c r="A781" s="43" t="n"/>
    </row>
    <row r="782">
      <c r="A782" s="43" t="n"/>
    </row>
    <row r="783">
      <c r="A783" s="43" t="n"/>
    </row>
    <row r="784">
      <c r="A784" s="43" t="n"/>
    </row>
    <row r="785">
      <c r="A785" s="43" t="n"/>
    </row>
    <row r="786">
      <c r="A786" s="43" t="n"/>
    </row>
    <row r="787">
      <c r="A787" s="43" t="n"/>
    </row>
    <row r="788">
      <c r="A788" s="43" t="n"/>
    </row>
    <row r="789">
      <c r="A789" s="43" t="n"/>
    </row>
    <row r="790">
      <c r="A790" s="43" t="n"/>
    </row>
    <row r="791">
      <c r="A791" s="43" t="n"/>
    </row>
    <row r="792">
      <c r="A792" s="43" t="n"/>
    </row>
    <row r="793">
      <c r="A793" s="43" t="n"/>
    </row>
    <row r="794">
      <c r="A794" s="43" t="n"/>
    </row>
    <row r="795">
      <c r="A795" s="43" t="n"/>
    </row>
    <row r="796">
      <c r="A796" s="43" t="n"/>
    </row>
    <row r="797">
      <c r="A797" s="43" t="n"/>
    </row>
    <row r="798">
      <c r="A798" s="43" t="n"/>
    </row>
    <row r="799">
      <c r="A799" s="43" t="n"/>
    </row>
    <row r="800">
      <c r="A800" s="43" t="n"/>
    </row>
    <row r="801">
      <c r="A801" s="43" t="n"/>
    </row>
    <row r="802">
      <c r="A802" s="43" t="n"/>
    </row>
    <row r="803">
      <c r="A803" s="43" t="n"/>
    </row>
    <row r="804">
      <c r="A804" s="43" t="n"/>
    </row>
    <row r="805">
      <c r="A805" s="43" t="n"/>
    </row>
    <row r="806">
      <c r="A806" s="43" t="n"/>
    </row>
    <row r="807">
      <c r="A807" s="43" t="n"/>
    </row>
    <row r="808">
      <c r="A808" s="43" t="n"/>
    </row>
    <row r="809">
      <c r="A809" s="43" t="n"/>
    </row>
    <row r="810">
      <c r="A810" s="43" t="n"/>
    </row>
    <row r="811">
      <c r="A811" s="43" t="n"/>
    </row>
    <row r="812">
      <c r="A812" s="43" t="n"/>
    </row>
    <row r="813">
      <c r="A813" s="43" t="n"/>
    </row>
    <row r="814">
      <c r="A814" s="43" t="n"/>
    </row>
    <row r="815">
      <c r="A815" s="43" t="n"/>
    </row>
    <row r="816">
      <c r="A816" s="43" t="n"/>
    </row>
    <row r="817">
      <c r="A817" s="43" t="n"/>
    </row>
    <row r="818">
      <c r="A818" s="43" t="n"/>
    </row>
    <row r="819">
      <c r="A819" s="43" t="n"/>
    </row>
    <row r="820">
      <c r="A820" s="43" t="n"/>
    </row>
    <row r="821">
      <c r="A821" s="43" t="n"/>
    </row>
    <row r="822">
      <c r="A822" s="43" t="n"/>
    </row>
    <row r="823">
      <c r="A823" s="43" t="n"/>
    </row>
    <row r="824">
      <c r="A824" s="43" t="n"/>
    </row>
    <row r="825">
      <c r="A825" s="43" t="n"/>
    </row>
    <row r="826">
      <c r="A826" s="43" t="n"/>
    </row>
    <row r="827">
      <c r="A827" s="43" t="n"/>
    </row>
    <row r="828">
      <c r="A828" s="43" t="n"/>
    </row>
    <row r="829">
      <c r="A829" s="43" t="n"/>
    </row>
    <row r="830">
      <c r="A830" s="43" t="n"/>
    </row>
    <row r="831">
      <c r="A831" s="43" t="n"/>
    </row>
    <row r="832">
      <c r="A832" s="43" t="n"/>
    </row>
    <row r="833">
      <c r="A833" s="43" t="n"/>
    </row>
    <row r="834">
      <c r="A834" s="43" t="n"/>
    </row>
    <row r="835">
      <c r="A835" s="43" t="n"/>
    </row>
    <row r="836">
      <c r="A836" s="43" t="n"/>
    </row>
    <row r="837">
      <c r="A837" s="43" t="n"/>
    </row>
    <row r="838">
      <c r="A838" s="43" t="n"/>
    </row>
    <row r="839">
      <c r="A839" s="43" t="n"/>
    </row>
    <row r="840">
      <c r="A840" s="43" t="n"/>
    </row>
    <row r="841">
      <c r="A841" s="43" t="n"/>
    </row>
    <row r="842">
      <c r="A842" s="43" t="n"/>
    </row>
    <row r="843">
      <c r="A843" s="43" t="n"/>
    </row>
    <row r="844">
      <c r="A844" s="43" t="n"/>
    </row>
    <row r="845">
      <c r="A845" s="43" t="n"/>
    </row>
    <row r="846">
      <c r="A846" s="43" t="n"/>
    </row>
    <row r="847">
      <c r="A847" s="43" t="n"/>
    </row>
    <row r="848">
      <c r="A848" s="43" t="n"/>
    </row>
    <row r="849">
      <c r="A849" s="43" t="n"/>
    </row>
    <row r="850">
      <c r="A850" s="43" t="n"/>
    </row>
    <row r="851">
      <c r="A851" s="43" t="n"/>
    </row>
    <row r="852">
      <c r="A852" s="43" t="n"/>
    </row>
    <row r="853">
      <c r="A853" s="43" t="n"/>
    </row>
    <row r="854">
      <c r="A854" s="43" t="n"/>
    </row>
    <row r="855">
      <c r="A855" s="43" t="n"/>
    </row>
    <row r="856">
      <c r="A856" s="43" t="n"/>
    </row>
    <row r="857">
      <c r="A857" s="43" t="n"/>
    </row>
    <row r="858">
      <c r="A858" s="43" t="n"/>
    </row>
    <row r="859">
      <c r="A859" s="43" t="n"/>
    </row>
    <row r="860">
      <c r="A860" s="43" t="n"/>
    </row>
    <row r="861">
      <c r="A861" s="43" t="n"/>
    </row>
    <row r="862">
      <c r="A862" s="43" t="n"/>
    </row>
    <row r="863">
      <c r="A863" s="43" t="n"/>
    </row>
    <row r="864">
      <c r="A864" s="43" t="n"/>
    </row>
    <row r="865">
      <c r="A865" s="43" t="n"/>
    </row>
    <row r="866">
      <c r="A866" s="43" t="n"/>
    </row>
    <row r="867">
      <c r="A867" s="43" t="n"/>
    </row>
    <row r="868">
      <c r="A868" s="43" t="n"/>
    </row>
    <row r="869">
      <c r="A869" s="43" t="n"/>
    </row>
    <row r="870">
      <c r="A870" s="43" t="n"/>
    </row>
    <row r="871">
      <c r="A871" s="43" t="n"/>
    </row>
    <row r="872">
      <c r="A872" s="43" t="n"/>
    </row>
    <row r="873">
      <c r="A873" s="43" t="n"/>
    </row>
    <row r="874">
      <c r="A874" s="43" t="n"/>
    </row>
    <row r="875">
      <c r="A875" s="43" t="n"/>
    </row>
    <row r="876">
      <c r="A876" s="43" t="n"/>
    </row>
    <row r="877">
      <c r="A877" s="43" t="n"/>
    </row>
    <row r="878">
      <c r="A878" s="43" t="n"/>
    </row>
    <row r="879">
      <c r="A879" s="43" t="n"/>
    </row>
    <row r="880">
      <c r="A880" s="43" t="n"/>
    </row>
    <row r="881">
      <c r="A881" s="43" t="n"/>
    </row>
    <row r="882">
      <c r="A882" s="43" t="n"/>
    </row>
    <row r="883">
      <c r="A883" s="43" t="n"/>
    </row>
    <row r="884">
      <c r="A884" s="43" t="n"/>
    </row>
    <row r="885">
      <c r="A885" s="43" t="n"/>
    </row>
    <row r="886">
      <c r="A886" s="43" t="n"/>
    </row>
    <row r="887">
      <c r="A887" s="43" t="n"/>
    </row>
    <row r="888">
      <c r="A888" s="43" t="n"/>
    </row>
    <row r="889">
      <c r="A889" s="43" t="n"/>
    </row>
    <row r="890">
      <c r="A890" s="43" t="n"/>
    </row>
    <row r="891">
      <c r="A891" s="43" t="n"/>
    </row>
    <row r="892">
      <c r="A892" s="43" t="n"/>
    </row>
    <row r="893">
      <c r="A893" s="43" t="n"/>
    </row>
    <row r="894">
      <c r="A894" s="43" t="n"/>
    </row>
    <row r="895">
      <c r="A895" s="43" t="n"/>
    </row>
    <row r="896">
      <c r="A896" s="43" t="n"/>
    </row>
    <row r="897">
      <c r="A897" s="43" t="n"/>
    </row>
    <row r="898">
      <c r="A898" s="43" t="n"/>
    </row>
    <row r="899">
      <c r="A899" s="43" t="n"/>
    </row>
    <row r="900">
      <c r="A900" s="43" t="n"/>
    </row>
    <row r="901">
      <c r="A901" s="43" t="n"/>
    </row>
    <row r="902">
      <c r="A902" s="43" t="n"/>
    </row>
    <row r="903">
      <c r="A903" s="43" t="n"/>
    </row>
    <row r="904">
      <c r="A904" s="43" t="n"/>
    </row>
    <row r="905">
      <c r="A905" s="43" t="n"/>
    </row>
    <row r="906">
      <c r="A906" s="43" t="n"/>
    </row>
    <row r="907">
      <c r="A907" s="43" t="n"/>
    </row>
    <row r="908">
      <c r="A908" s="43" t="n"/>
    </row>
    <row r="909">
      <c r="A909" s="43" t="n"/>
    </row>
    <row r="910">
      <c r="A910" s="43" t="n"/>
    </row>
    <row r="911">
      <c r="A911" s="43" t="n"/>
    </row>
    <row r="912">
      <c r="A912" s="43" t="n"/>
    </row>
    <row r="913">
      <c r="A913" s="43" t="n"/>
    </row>
    <row r="914">
      <c r="A914" s="43" t="n"/>
    </row>
    <row r="915">
      <c r="A915" s="43" t="n"/>
    </row>
    <row r="916">
      <c r="A916" s="43" t="n"/>
    </row>
    <row r="917">
      <c r="A917" s="43" t="n"/>
    </row>
    <row r="918">
      <c r="A918" s="43" t="n"/>
    </row>
    <row r="919">
      <c r="A919" s="43" t="n"/>
    </row>
    <row r="920">
      <c r="A920" s="43" t="n"/>
    </row>
    <row r="921">
      <c r="A921" s="43" t="n"/>
    </row>
    <row r="922">
      <c r="A922" s="43" t="n"/>
    </row>
    <row r="923">
      <c r="A923" s="43" t="n"/>
    </row>
    <row r="924">
      <c r="A924" s="43" t="n"/>
    </row>
    <row r="925">
      <c r="A925" s="43" t="n"/>
    </row>
    <row r="926">
      <c r="A926" s="43" t="n"/>
    </row>
    <row r="927">
      <c r="A927" s="43" t="n"/>
    </row>
    <row r="928">
      <c r="A928" s="43" t="n"/>
    </row>
    <row r="929">
      <c r="A929" s="43" t="n"/>
    </row>
    <row r="930">
      <c r="A930" s="43" t="n"/>
    </row>
    <row r="931">
      <c r="A931" s="43" t="n"/>
    </row>
    <row r="932">
      <c r="A932" s="43" t="n"/>
    </row>
    <row r="933">
      <c r="A933" s="43" t="n"/>
    </row>
    <row r="934">
      <c r="A934" s="43" t="n"/>
    </row>
    <row r="935">
      <c r="A935" s="43" t="n"/>
    </row>
    <row r="936">
      <c r="A936" s="43" t="n"/>
    </row>
    <row r="937">
      <c r="A937" s="43" t="n"/>
    </row>
    <row r="938">
      <c r="A938" s="43" t="n"/>
    </row>
    <row r="939">
      <c r="A939" s="43" t="n"/>
    </row>
    <row r="940">
      <c r="A940" s="43" t="n"/>
    </row>
    <row r="941">
      <c r="A941" s="43" t="n"/>
    </row>
    <row r="942">
      <c r="A942" s="43" t="n"/>
    </row>
    <row r="943">
      <c r="A943" s="43" t="n"/>
    </row>
    <row r="944">
      <c r="A944" s="43" t="n"/>
    </row>
    <row r="945">
      <c r="A945" s="43" t="n"/>
    </row>
    <row r="946">
      <c r="A946" s="43" t="n"/>
    </row>
    <row r="947">
      <c r="A947" s="43" t="n"/>
    </row>
    <row r="948">
      <c r="A948" s="43" t="n"/>
    </row>
    <row r="949">
      <c r="A949" s="43" t="n"/>
    </row>
    <row r="950">
      <c r="A950" s="43" t="n"/>
    </row>
    <row r="951">
      <c r="A951" s="43" t="n"/>
    </row>
    <row r="952">
      <c r="A952" s="43" t="n"/>
    </row>
    <row r="953">
      <c r="A953" s="43" t="n"/>
    </row>
    <row r="954">
      <c r="A954" s="43" t="n"/>
    </row>
    <row r="955">
      <c r="A955" s="43" t="n"/>
    </row>
    <row r="956">
      <c r="A956" s="43" t="n"/>
    </row>
    <row r="957">
      <c r="A957" s="43" t="n"/>
    </row>
    <row r="958">
      <c r="A958" s="43" t="n"/>
    </row>
    <row r="959">
      <c r="A959" s="43" t="n"/>
    </row>
    <row r="960">
      <c r="A960" s="43" t="n"/>
    </row>
    <row r="961">
      <c r="A961" s="43" t="n"/>
    </row>
    <row r="962">
      <c r="A962" s="43" t="n"/>
    </row>
    <row r="963">
      <c r="A963" s="43" t="n"/>
    </row>
    <row r="964">
      <c r="A964" s="43" t="n"/>
    </row>
    <row r="965">
      <c r="A965" s="43" t="n"/>
    </row>
    <row r="966">
      <c r="A966" s="43" t="n"/>
    </row>
    <row r="967">
      <c r="A967" s="43" t="n"/>
    </row>
    <row r="968">
      <c r="A968" s="43" t="n"/>
    </row>
    <row r="969">
      <c r="A969" s="43" t="n"/>
    </row>
    <row r="970">
      <c r="A970" s="43" t="n"/>
    </row>
    <row r="971">
      <c r="A971" s="43" t="n"/>
    </row>
    <row r="972">
      <c r="A972" s="43" t="n"/>
    </row>
    <row r="973">
      <c r="A973" s="43" t="n"/>
    </row>
    <row r="974">
      <c r="A974" s="43" t="n"/>
    </row>
    <row r="975">
      <c r="A975" s="43" t="n"/>
    </row>
    <row r="976">
      <c r="A976" s="43" t="n"/>
    </row>
    <row r="977">
      <c r="A977" s="43" t="n"/>
    </row>
    <row r="978">
      <c r="A978" s="43" t="n"/>
    </row>
    <row r="979">
      <c r="A979" s="43" t="n"/>
    </row>
    <row r="980">
      <c r="A980" s="43" t="n"/>
    </row>
    <row r="981">
      <c r="A981" s="43" t="n"/>
    </row>
    <row r="982">
      <c r="A982" s="43" t="n"/>
    </row>
    <row r="983">
      <c r="A983" s="43" t="n"/>
    </row>
    <row r="984">
      <c r="A984" s="43" t="n"/>
    </row>
    <row r="985">
      <c r="A985" s="43" t="n"/>
    </row>
    <row r="986">
      <c r="A986" s="43" t="n"/>
    </row>
    <row r="987">
      <c r="A987" s="43" t="n"/>
    </row>
    <row r="988">
      <c r="A988" s="43" t="n"/>
    </row>
    <row r="989">
      <c r="A989" s="43" t="n"/>
    </row>
    <row r="990">
      <c r="A990" s="43" t="n"/>
    </row>
    <row r="991">
      <c r="A991" s="43" t="n"/>
    </row>
    <row r="992">
      <c r="A992" s="43" t="n"/>
    </row>
    <row r="993">
      <c r="A993" s="43" t="n"/>
    </row>
    <row r="994">
      <c r="A994" s="43" t="n"/>
    </row>
    <row r="995">
      <c r="A995" s="43" t="n"/>
    </row>
    <row r="996">
      <c r="A996" s="43" t="n"/>
    </row>
    <row r="997">
      <c r="A997" s="43" t="n"/>
    </row>
    <row r="998">
      <c r="A998" s="43" t="n"/>
    </row>
    <row r="999">
      <c r="A999" s="43" t="n"/>
    </row>
  </sheetData>
  <autoFilter ref="A1:C9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64A2"/>
    <outlinePr summaryBelow="0" summaryRight="0"/>
    <pageSetUpPr/>
  </sheetPr>
  <dimension ref="A1:I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21" customWidth="1" style="78" min="1" max="1"/>
    <col width="20" customWidth="1" style="78" min="2" max="2"/>
    <col width="10" customWidth="1" style="78" min="3" max="3"/>
    <col width="10" customWidth="1" style="78" min="4" max="4"/>
    <col width="10" customWidth="1" style="78" min="5" max="5"/>
    <col width="18" customWidth="1" style="78" min="6" max="6"/>
    <col width="32" customWidth="1" style="78" min="7" max="7"/>
    <col width="10" customWidth="1" style="78" min="8" max="8"/>
    <col width="10" customWidth="1" style="78" min="9" max="9"/>
  </cols>
  <sheetData>
    <row r="1">
      <c r="A1" s="79" t="inlineStr">
        <is>
          <t>Fecha</t>
        </is>
      </c>
      <c r="B1" s="79" t="inlineStr">
        <is>
          <t>Medio de Pago</t>
        </is>
      </c>
      <c r="C1" s="79" t="inlineStr">
        <is>
          <t>Monto</t>
        </is>
      </c>
      <c r="F1" s="79" t="inlineStr">
        <is>
          <t>Total a Facturar</t>
        </is>
      </c>
      <c r="G1" s="79">
        <f>SUMIF('Base de Datos Tarjetas'!A:A,G4,'Base de Datos Tarjetas'!C:C)</f>
        <v/>
      </c>
      <c r="I1" s="112">
        <f>TODAY()</f>
        <v/>
      </c>
    </row>
    <row r="2">
      <c r="A2" s="106" t="inlineStr">
        <is>
          <t>13/1025</t>
        </is>
      </c>
      <c r="B2" s="106" t="inlineStr">
        <is>
          <t>VISA DEBITO</t>
        </is>
      </c>
      <c r="C2" s="107" t="n">
        <v>6500</v>
      </c>
    </row>
    <row r="3">
      <c r="A3" s="53" t="n">
        <v>45943</v>
      </c>
      <c r="B3" s="77" t="inlineStr">
        <is>
          <t>DATA</t>
        </is>
      </c>
      <c r="C3" s="109" t="n">
        <v>14380</v>
      </c>
    </row>
    <row r="4">
      <c r="A4" s="105" t="n">
        <v>45945</v>
      </c>
      <c r="B4" s="106" t="inlineStr">
        <is>
          <t>NARANJA</t>
        </is>
      </c>
      <c r="C4" s="107" t="n">
        <v>57500</v>
      </c>
    </row>
    <row r="5">
      <c r="A5" s="53" t="n">
        <v>45945</v>
      </c>
      <c r="B5" s="77" t="inlineStr">
        <is>
          <t>VISA CREDITO</t>
        </is>
      </c>
      <c r="C5" s="109" t="n">
        <v>12000</v>
      </c>
    </row>
    <row r="6">
      <c r="A6" s="105" t="n">
        <v>45946</v>
      </c>
      <c r="B6" s="106" t="inlineStr">
        <is>
          <t>VISA CREDITO</t>
        </is>
      </c>
      <c r="C6" s="107" t="n">
        <v>14000</v>
      </c>
    </row>
    <row r="7">
      <c r="A7" s="53" t="n">
        <v>45947</v>
      </c>
      <c r="B7" s="77" t="inlineStr">
        <is>
          <t>VISA CREDITO</t>
        </is>
      </c>
      <c r="C7" s="109" t="n">
        <v>10000</v>
      </c>
    </row>
    <row r="8">
      <c r="A8" s="105" t="n">
        <v>45947</v>
      </c>
      <c r="B8" s="106" t="inlineStr">
        <is>
          <t>NARANJA</t>
        </is>
      </c>
      <c r="C8" s="107" t="n">
        <v>62680</v>
      </c>
    </row>
    <row r="9">
      <c r="A9" s="53" t="n">
        <v>45947</v>
      </c>
      <c r="B9" s="77" t="inlineStr">
        <is>
          <t>NARANJA</t>
        </is>
      </c>
      <c r="C9" s="109" t="n">
        <v>151800</v>
      </c>
    </row>
    <row r="10">
      <c r="A10" s="105" t="n">
        <v>45947</v>
      </c>
      <c r="B10" s="106" t="inlineStr">
        <is>
          <t>NARANJA</t>
        </is>
      </c>
      <c r="C10" s="107" t="n">
        <v>73100</v>
      </c>
    </row>
    <row r="11">
      <c r="A11" s="53" t="n">
        <v>45947</v>
      </c>
      <c r="B11" s="77" t="inlineStr">
        <is>
          <t>VISA CREDITO</t>
        </is>
      </c>
      <c r="C11" s="109" t="n">
        <v>103000</v>
      </c>
    </row>
    <row r="12">
      <c r="A12" s="105" t="n">
        <v>45948</v>
      </c>
      <c r="B12" s="106" t="inlineStr">
        <is>
          <t>NARANJA</t>
        </is>
      </c>
      <c r="C12" s="107" t="n">
        <v>39680</v>
      </c>
    </row>
    <row r="13">
      <c r="A13" s="53" t="n">
        <v>45948</v>
      </c>
      <c r="B13" s="77" t="inlineStr">
        <is>
          <t>NARANJA</t>
        </is>
      </c>
      <c r="C13" s="109" t="n">
        <v>110980</v>
      </c>
    </row>
    <row r="14">
      <c r="A14" s="105" t="n">
        <v>45948</v>
      </c>
      <c r="B14" s="106" t="inlineStr">
        <is>
          <t>VISA CREDITO</t>
        </is>
      </c>
      <c r="C14" s="107" t="n">
        <v>10000</v>
      </c>
    </row>
    <row r="15">
      <c r="A15" s="53" t="n">
        <v>45948</v>
      </c>
      <c r="B15" s="77" t="inlineStr">
        <is>
          <t>DATA</t>
        </is>
      </c>
      <c r="C15" s="109" t="n">
        <v>58700</v>
      </c>
    </row>
    <row r="16">
      <c r="A16" s="105" t="n">
        <v>45949</v>
      </c>
      <c r="B16" s="106" t="inlineStr">
        <is>
          <t>DATA</t>
        </is>
      </c>
      <c r="C16" s="107" t="n">
        <v>85450</v>
      </c>
    </row>
    <row r="17">
      <c r="A17" s="53" t="n">
        <v>45949</v>
      </c>
      <c r="B17" s="77" t="inlineStr">
        <is>
          <t>NARANJA</t>
        </is>
      </c>
      <c r="C17" s="109" t="n">
        <v>11500</v>
      </c>
    </row>
    <row r="18">
      <c r="A18" s="105" t="n">
        <v>45949</v>
      </c>
      <c r="B18" s="106" t="inlineStr">
        <is>
          <t>MASTERCARD DEBITO</t>
        </is>
      </c>
      <c r="C18" s="107" t="n">
        <v>23000</v>
      </c>
    </row>
    <row r="19">
      <c r="A19" s="53" t="n">
        <v>45949</v>
      </c>
      <c r="B19" s="77" t="inlineStr">
        <is>
          <t>DATA</t>
        </is>
      </c>
      <c r="C19" s="109" t="n">
        <v>34500</v>
      </c>
    </row>
    <row r="20">
      <c r="A20" s="105" t="n">
        <v>45949</v>
      </c>
      <c r="B20" s="106" t="inlineStr">
        <is>
          <t>DATA</t>
        </is>
      </c>
      <c r="C20" s="107" t="n">
        <v>31630</v>
      </c>
    </row>
    <row r="21">
      <c r="A21" s="53" t="n">
        <v>45949</v>
      </c>
      <c r="B21" s="77" t="inlineStr">
        <is>
          <t>VISA DEBITO</t>
        </is>
      </c>
      <c r="C21" s="109" t="n">
        <v>23000</v>
      </c>
    </row>
    <row r="22">
      <c r="A22" s="105" t="n">
        <v>45949</v>
      </c>
      <c r="B22" s="106" t="inlineStr">
        <is>
          <t>NARANJA</t>
        </is>
      </c>
      <c r="C22" s="107" t="n">
        <v>56930</v>
      </c>
    </row>
    <row r="23">
      <c r="A23" s="53" t="n">
        <v>45950</v>
      </c>
      <c r="B23" s="77" t="inlineStr">
        <is>
          <t>DATA</t>
        </is>
      </c>
      <c r="C23" s="109" t="n">
        <v>72700</v>
      </c>
    </row>
    <row r="24">
      <c r="A24" s="105" t="n">
        <v>45950</v>
      </c>
      <c r="B24" s="106" t="inlineStr">
        <is>
          <t>NARANJA</t>
        </is>
      </c>
      <c r="C24" s="107" t="n">
        <v>17250</v>
      </c>
    </row>
    <row r="25">
      <c r="A25" s="53" t="n">
        <v>45950</v>
      </c>
      <c r="B25" s="77" t="inlineStr">
        <is>
          <t>VISA CREDITO</t>
        </is>
      </c>
      <c r="C25" s="109" t="n">
        <v>3600</v>
      </c>
    </row>
    <row r="26">
      <c r="A26" s="105" t="n">
        <v>45950</v>
      </c>
      <c r="B26" s="106" t="inlineStr">
        <is>
          <t>DATA</t>
        </is>
      </c>
      <c r="C26" s="107" t="n">
        <v>94300</v>
      </c>
    </row>
    <row r="27">
      <c r="A27" s="53" t="n">
        <v>45951</v>
      </c>
      <c r="B27" s="77" t="inlineStr">
        <is>
          <t>NARANJA</t>
        </is>
      </c>
      <c r="C27" s="109" t="n">
        <v>33500</v>
      </c>
    </row>
    <row r="28">
      <c r="A28" s="105" t="n">
        <v>45951</v>
      </c>
      <c r="B28" s="106" t="inlineStr">
        <is>
          <t>NARANJA</t>
        </is>
      </c>
      <c r="C28" s="107" t="n">
        <v>42900</v>
      </c>
    </row>
    <row r="29">
      <c r="A29" s="53" t="n">
        <v>45951</v>
      </c>
      <c r="B29" s="77" t="inlineStr">
        <is>
          <t>VISA CREDITO</t>
        </is>
      </c>
      <c r="C29" s="109" t="n">
        <v>15000</v>
      </c>
    </row>
    <row r="30">
      <c r="A30" s="105" t="n">
        <v>45952</v>
      </c>
      <c r="B30" s="106" t="inlineStr">
        <is>
          <t>VISA CREDITO</t>
        </is>
      </c>
      <c r="C30" s="107" t="n">
        <v>40500</v>
      </c>
    </row>
    <row r="31">
      <c r="A31" s="53" t="n">
        <v>45954</v>
      </c>
      <c r="B31" s="77" t="inlineStr">
        <is>
          <t>VISA DEBITO</t>
        </is>
      </c>
      <c r="C31" s="109" t="n">
        <v>54500</v>
      </c>
    </row>
    <row r="32">
      <c r="A32" s="105" t="n">
        <v>45955</v>
      </c>
      <c r="B32" s="106" t="inlineStr">
        <is>
          <t>VISA DEBITO</t>
        </is>
      </c>
      <c r="C32" s="107" t="n">
        <v>74800</v>
      </c>
    </row>
    <row r="33">
      <c r="A33" s="53" t="n">
        <v>45955</v>
      </c>
      <c r="B33" s="77" t="inlineStr">
        <is>
          <t>VISA DEBITO</t>
        </is>
      </c>
      <c r="C33" s="109" t="n">
        <v>4500</v>
      </c>
    </row>
    <row r="34">
      <c r="A34" s="105" t="n">
        <v>45956</v>
      </c>
      <c r="B34" s="106" t="inlineStr">
        <is>
          <t>NARANJA</t>
        </is>
      </c>
      <c r="C34" s="107" t="n">
        <v>78200</v>
      </c>
    </row>
    <row r="35">
      <c r="A35" s="53" t="n">
        <v>45957</v>
      </c>
      <c r="B35" s="77" t="inlineStr">
        <is>
          <t>VISA CREDITO</t>
        </is>
      </c>
      <c r="C35" s="109" t="n">
        <v>60900</v>
      </c>
    </row>
    <row r="36">
      <c r="A36" s="105" t="n">
        <v>45957</v>
      </c>
      <c r="B36" s="106" t="inlineStr">
        <is>
          <t>DATA</t>
        </is>
      </c>
      <c r="C36" s="107" t="n">
        <v>13300</v>
      </c>
    </row>
    <row r="37">
      <c r="A37" s="53" t="n">
        <v>45958</v>
      </c>
      <c r="B37" s="77" t="inlineStr">
        <is>
          <t>DATA</t>
        </is>
      </c>
      <c r="C37" s="109" t="n">
        <v>13300</v>
      </c>
    </row>
    <row r="38">
      <c r="A38" s="105" t="n">
        <v>45958</v>
      </c>
      <c r="B38" s="106" t="inlineStr">
        <is>
          <t>MASTERCARD CREDITO</t>
        </is>
      </c>
      <c r="C38" s="107" t="n">
        <v>53030</v>
      </c>
    </row>
    <row r="39">
      <c r="A39" s="53" t="n">
        <v>45958</v>
      </c>
      <c r="B39" s="77" t="inlineStr">
        <is>
          <t>NARANJA</t>
        </is>
      </c>
      <c r="C39" s="109" t="n">
        <v>12080</v>
      </c>
    </row>
    <row r="40">
      <c r="A40" s="105" t="n">
        <v>45958</v>
      </c>
      <c r="B40" s="106" t="inlineStr">
        <is>
          <t>NARANJA</t>
        </is>
      </c>
      <c r="C40" s="107" t="n">
        <v>67050</v>
      </c>
    </row>
    <row r="41">
      <c r="A41" s="53" t="n">
        <v>45958</v>
      </c>
      <c r="B41" s="77" t="inlineStr">
        <is>
          <t>NARANJA</t>
        </is>
      </c>
      <c r="C41" s="109" t="n">
        <v>38530</v>
      </c>
    </row>
    <row r="42">
      <c r="A42" s="105" t="n">
        <v>45959</v>
      </c>
      <c r="B42" s="106" t="inlineStr">
        <is>
          <t>NARANJA</t>
        </is>
      </c>
      <c r="C42" s="107" t="n">
        <v>40250</v>
      </c>
    </row>
    <row r="43">
      <c r="A43" s="53" t="n">
        <v>45959</v>
      </c>
      <c r="B43" s="77" t="inlineStr">
        <is>
          <t>VISA DEBITO</t>
        </is>
      </c>
      <c r="C43" s="109" t="n">
        <v>21000</v>
      </c>
    </row>
    <row r="44">
      <c r="A44" s="105" t="n">
        <v>45959</v>
      </c>
      <c r="B44" s="106" t="inlineStr">
        <is>
          <t>DATA</t>
        </is>
      </c>
      <c r="C44" s="107" t="n">
        <v>151850</v>
      </c>
    </row>
    <row r="45">
      <c r="A45" s="53" t="n">
        <v>45959</v>
      </c>
      <c r="B45" s="77" t="inlineStr">
        <is>
          <t>DATA</t>
        </is>
      </c>
      <c r="C45" s="109" t="n">
        <v>42550</v>
      </c>
    </row>
    <row r="46">
      <c r="A46" s="105" t="n">
        <v>45960</v>
      </c>
      <c r="B46" s="106" t="inlineStr">
        <is>
          <t>NARANJA</t>
        </is>
      </c>
      <c r="C46" s="107" t="n">
        <v>94300</v>
      </c>
    </row>
    <row r="47">
      <c r="A47" s="53" t="n">
        <v>45960</v>
      </c>
      <c r="B47" s="77" t="inlineStr">
        <is>
          <t>DATA</t>
        </is>
      </c>
      <c r="C47" s="109" t="n">
        <v>82230</v>
      </c>
    </row>
    <row r="48">
      <c r="A48" s="105" t="n">
        <v>45961</v>
      </c>
      <c r="B48" s="106" t="inlineStr">
        <is>
          <t>DATA</t>
        </is>
      </c>
      <c r="C48" s="107" t="n">
        <v>20130</v>
      </c>
    </row>
    <row r="49">
      <c r="A49" s="59" t="n">
        <v>45961</v>
      </c>
      <c r="B49" s="77" t="inlineStr">
        <is>
          <t>VISA DEBITO</t>
        </is>
      </c>
      <c r="C49" s="109" t="n">
        <v>11000</v>
      </c>
    </row>
    <row r="50">
      <c r="A50" s="105" t="n">
        <v>45962</v>
      </c>
      <c r="B50" s="106" t="inlineStr">
        <is>
          <t>VISA DEBITO</t>
        </is>
      </c>
      <c r="C50" s="107" t="n">
        <v>12000</v>
      </c>
    </row>
    <row r="51">
      <c r="A51" s="53" t="n">
        <v>45962</v>
      </c>
      <c r="B51" s="77" t="inlineStr">
        <is>
          <t>VISA DEBITO</t>
        </is>
      </c>
      <c r="C51" s="109" t="n">
        <v>19500</v>
      </c>
    </row>
    <row r="52">
      <c r="A52" s="105" t="n">
        <v>45962</v>
      </c>
      <c r="B52" s="106" t="inlineStr">
        <is>
          <t>NARANJA</t>
        </is>
      </c>
      <c r="C52" s="107" t="n">
        <v>15530</v>
      </c>
    </row>
    <row r="53">
      <c r="A53" s="53" t="n">
        <v>45965</v>
      </c>
      <c r="B53" s="77" t="inlineStr">
        <is>
          <t>NARANJA</t>
        </is>
      </c>
      <c r="C53" s="109" t="n">
        <v>103500</v>
      </c>
    </row>
    <row r="54">
      <c r="A54" s="105" t="n">
        <v>45965</v>
      </c>
      <c r="B54" s="106" t="inlineStr">
        <is>
          <t>VISA CREDITO</t>
        </is>
      </c>
      <c r="C54" s="107" t="n">
        <v>47050</v>
      </c>
    </row>
    <row r="55">
      <c r="A55" s="53" t="n">
        <v>45965</v>
      </c>
      <c r="B55" s="77" t="inlineStr">
        <is>
          <t>VISA CREDITO</t>
        </is>
      </c>
      <c r="C55" s="109" t="n">
        <v>61500</v>
      </c>
    </row>
    <row r="56">
      <c r="A56" s="105" t="n">
        <v>45968</v>
      </c>
      <c r="B56" s="106" t="inlineStr">
        <is>
          <t>VISA CREDITO</t>
        </is>
      </c>
      <c r="C56" s="107" t="n">
        <v>30000</v>
      </c>
    </row>
    <row r="57">
      <c r="A57" s="53" t="n">
        <v>45968</v>
      </c>
      <c r="B57" s="77" t="inlineStr">
        <is>
          <t>VISA DEBITO</t>
        </is>
      </c>
      <c r="C57" s="109" t="n">
        <v>46500</v>
      </c>
    </row>
    <row r="58">
      <c r="A58" s="105" t="n">
        <v>45968</v>
      </c>
      <c r="B58" s="106" t="inlineStr">
        <is>
          <t>VISA DEBITO</t>
        </is>
      </c>
      <c r="C58" s="107" t="n">
        <v>70500</v>
      </c>
    </row>
    <row r="59">
      <c r="A59" s="53" t="n">
        <v>45968</v>
      </c>
      <c r="B59" s="77" t="inlineStr">
        <is>
          <t>NARANJA</t>
        </is>
      </c>
      <c r="C59" s="109" t="n">
        <v>23600</v>
      </c>
    </row>
    <row r="60">
      <c r="A60" s="105" t="n">
        <v>45969</v>
      </c>
      <c r="B60" s="106" t="inlineStr">
        <is>
          <t>VISA DEBITO</t>
        </is>
      </c>
      <c r="C60" s="107" t="n">
        <v>2400</v>
      </c>
    </row>
    <row r="61">
      <c r="A61" s="53" t="n">
        <v>45972</v>
      </c>
      <c r="B61" s="77" t="inlineStr">
        <is>
          <t>DATA</t>
        </is>
      </c>
      <c r="C61" s="109" t="n">
        <v>20130</v>
      </c>
    </row>
    <row r="62">
      <c r="A62" s="105" t="n">
        <v>45974</v>
      </c>
      <c r="B62" s="106" t="inlineStr">
        <is>
          <t>VISA DEBITO</t>
        </is>
      </c>
      <c r="C62" s="107" t="n">
        <v>50500</v>
      </c>
    </row>
    <row r="63">
      <c r="A63" s="53" t="n">
        <v>45975</v>
      </c>
      <c r="B63" s="77" t="inlineStr">
        <is>
          <t>DATA</t>
        </is>
      </c>
      <c r="C63" s="109" t="n">
        <v>18400</v>
      </c>
    </row>
    <row r="64">
      <c r="A64" s="105" t="n">
        <v>45975</v>
      </c>
      <c r="B64" s="106" t="inlineStr">
        <is>
          <t>VISA CREDITO</t>
        </is>
      </c>
      <c r="C64" s="107" t="n">
        <v>58600</v>
      </c>
    </row>
    <row r="65">
      <c r="A65" s="53" t="n">
        <v>45975</v>
      </c>
      <c r="B65" s="77" t="inlineStr">
        <is>
          <t>DATA</t>
        </is>
      </c>
      <c r="C65" s="109" t="n">
        <v>46580</v>
      </c>
    </row>
    <row r="66">
      <c r="A66" s="105" t="n">
        <v>45975</v>
      </c>
      <c r="B66" s="106" t="inlineStr">
        <is>
          <t>MASTERCARD DEBITO</t>
        </is>
      </c>
      <c r="C66" s="107" t="n">
        <v>23650</v>
      </c>
    </row>
    <row r="67">
      <c r="A67" s="53" t="n">
        <v>45976</v>
      </c>
      <c r="B67" s="77" t="inlineStr">
        <is>
          <t>DATA</t>
        </is>
      </c>
      <c r="C67" s="109" t="n">
        <v>51750</v>
      </c>
    </row>
    <row r="68">
      <c r="A68" s="105" t="n">
        <v>45976</v>
      </c>
      <c r="B68" s="106" t="inlineStr">
        <is>
          <t>DATA</t>
        </is>
      </c>
      <c r="C68" s="107" t="n">
        <v>175400</v>
      </c>
    </row>
    <row r="69">
      <c r="A69" s="53" t="n">
        <v>45976</v>
      </c>
      <c r="B69" s="77" t="inlineStr">
        <is>
          <t>NARANJA</t>
        </is>
      </c>
      <c r="C69" s="109" t="n">
        <v>115000</v>
      </c>
    </row>
    <row r="70">
      <c r="A70" s="105" t="n">
        <v>45977</v>
      </c>
      <c r="B70" s="106" t="inlineStr">
        <is>
          <t>NARANJA</t>
        </is>
      </c>
      <c r="C70" s="107" t="n">
        <v>156980</v>
      </c>
    </row>
    <row r="71">
      <c r="A71" s="53" t="n">
        <v>45979</v>
      </c>
      <c r="B71" s="77" t="inlineStr">
        <is>
          <t>DATA</t>
        </is>
      </c>
      <c r="C71" s="109" t="n">
        <v>10350</v>
      </c>
    </row>
    <row r="72">
      <c r="A72" s="105" t="n">
        <v>45981</v>
      </c>
      <c r="B72" s="106" t="inlineStr">
        <is>
          <t>FIEL</t>
        </is>
      </c>
      <c r="C72" s="107" t="n">
        <v>137470</v>
      </c>
    </row>
    <row r="73">
      <c r="A73" s="53" t="n">
        <v>45982</v>
      </c>
      <c r="B73" s="77" t="inlineStr">
        <is>
          <t>DATA</t>
        </is>
      </c>
      <c r="C73" s="109" t="n">
        <v>50830</v>
      </c>
    </row>
    <row r="74">
      <c r="A74" s="105" t="n">
        <v>45982</v>
      </c>
      <c r="B74" s="106" t="inlineStr">
        <is>
          <t>DATA</t>
        </is>
      </c>
      <c r="C74" s="107" t="n">
        <v>30480</v>
      </c>
    </row>
    <row r="75">
      <c r="A75" s="53" t="n">
        <v>45982</v>
      </c>
      <c r="B75" s="77" t="inlineStr">
        <is>
          <t>NARANJA</t>
        </is>
      </c>
      <c r="C75" s="109" t="n">
        <v>33350</v>
      </c>
    </row>
    <row r="76">
      <c r="A76" s="105" t="n">
        <v>45982</v>
      </c>
      <c r="B76" s="106" t="inlineStr">
        <is>
          <t>NARANJA</t>
        </is>
      </c>
      <c r="C76" s="107" t="n">
        <v>14950</v>
      </c>
    </row>
    <row r="77">
      <c r="A77" s="53" t="n">
        <v>45982</v>
      </c>
      <c r="B77" s="77" t="inlineStr">
        <is>
          <t>DATA</t>
        </is>
      </c>
      <c r="C77" s="109" t="n">
        <v>47500</v>
      </c>
    </row>
    <row r="78">
      <c r="A78" s="105" t="n">
        <v>45982</v>
      </c>
      <c r="B78" s="106" t="inlineStr">
        <is>
          <t>NARANJA</t>
        </is>
      </c>
      <c r="C78" s="107" t="n">
        <v>34300</v>
      </c>
    </row>
    <row r="79">
      <c r="A79" s="53" t="n">
        <v>45983</v>
      </c>
      <c r="B79" s="77" t="inlineStr">
        <is>
          <t>DATA</t>
        </is>
      </c>
      <c r="C79" s="109" t="n">
        <v>10350</v>
      </c>
    </row>
    <row r="80">
      <c r="A80" s="105" t="n">
        <v>45983</v>
      </c>
      <c r="B80" s="106" t="inlineStr">
        <is>
          <t>DATA</t>
        </is>
      </c>
      <c r="C80" s="107" t="n">
        <v>10700</v>
      </c>
    </row>
    <row r="81">
      <c r="A81" s="53" t="n">
        <v>45983</v>
      </c>
      <c r="B81" s="77" t="inlineStr">
        <is>
          <t>NARANJA</t>
        </is>
      </c>
      <c r="C81" s="109" t="n">
        <v>113850</v>
      </c>
    </row>
    <row r="82">
      <c r="A82" s="105" t="n">
        <v>45983</v>
      </c>
      <c r="B82" s="106" t="inlineStr">
        <is>
          <t>VISA DEBITO</t>
        </is>
      </c>
      <c r="C82" s="107" t="n">
        <v>29500</v>
      </c>
    </row>
    <row r="83">
      <c r="A83" s="53" t="n">
        <v>45984</v>
      </c>
      <c r="B83" s="77" t="inlineStr">
        <is>
          <t>DATA</t>
        </is>
      </c>
      <c r="C83" s="109" t="n">
        <v>80500</v>
      </c>
    </row>
    <row r="84">
      <c r="A84" s="105" t="n">
        <v>45985</v>
      </c>
      <c r="B84" s="106" t="inlineStr">
        <is>
          <t>VISA CREDITO</t>
        </is>
      </c>
      <c r="C84" s="107" t="n">
        <v>47150</v>
      </c>
    </row>
    <row r="85">
      <c r="A85" s="53" t="n">
        <v>45986</v>
      </c>
      <c r="B85" s="77" t="inlineStr">
        <is>
          <t>DATA</t>
        </is>
      </c>
      <c r="C85" s="109" t="n">
        <v>95450</v>
      </c>
    </row>
    <row r="86">
      <c r="A86" s="105" t="n">
        <v>45986</v>
      </c>
      <c r="B86" s="106" t="inlineStr">
        <is>
          <t>NARANJA</t>
        </is>
      </c>
      <c r="C86" s="107" t="n">
        <v>32200</v>
      </c>
    </row>
    <row r="87">
      <c r="A87" s="53" t="n">
        <v>45986</v>
      </c>
      <c r="B87" s="77" t="inlineStr">
        <is>
          <t>VISA DEBITO</t>
        </is>
      </c>
      <c r="C87" s="109" t="n">
        <v>21000</v>
      </c>
    </row>
    <row r="88">
      <c r="A88" s="105" t="n">
        <v>45986</v>
      </c>
      <c r="B88" s="106" t="inlineStr">
        <is>
          <t>NARANJA</t>
        </is>
      </c>
      <c r="C88" s="107" t="n">
        <v>25650</v>
      </c>
    </row>
    <row r="89">
      <c r="A89" s="53" t="n">
        <v>45988</v>
      </c>
      <c r="B89" s="77" t="inlineStr">
        <is>
          <t>DATA</t>
        </is>
      </c>
      <c r="C89" s="109" t="n">
        <v>51180</v>
      </c>
    </row>
    <row r="90">
      <c r="A90" s="105" t="n">
        <v>45988</v>
      </c>
      <c r="B90" s="106" t="inlineStr">
        <is>
          <t>DATA</t>
        </is>
      </c>
      <c r="C90" s="107" t="n">
        <v>27030</v>
      </c>
    </row>
    <row r="91">
      <c r="A91" s="53" t="n">
        <v>45988</v>
      </c>
      <c r="B91" s="77" t="inlineStr">
        <is>
          <t>VISA CREDITO</t>
        </is>
      </c>
      <c r="C91" s="109" t="n">
        <v>79500</v>
      </c>
    </row>
    <row r="92">
      <c r="A92" s="105" t="n">
        <v>45989</v>
      </c>
      <c r="B92" s="106" t="inlineStr">
        <is>
          <t>VISA DEBITO</t>
        </is>
      </c>
      <c r="C92" s="107" t="n">
        <v>14500</v>
      </c>
    </row>
    <row r="93">
      <c r="A93" s="53" t="n">
        <v>45989</v>
      </c>
      <c r="B93" s="77" t="inlineStr">
        <is>
          <t>VISA CREDITO</t>
        </is>
      </c>
      <c r="C93" s="109" t="n">
        <v>14500</v>
      </c>
    </row>
    <row r="94">
      <c r="A94" s="105" t="n">
        <v>45989</v>
      </c>
      <c r="B94" s="106" t="inlineStr">
        <is>
          <t>VISA DEBITO</t>
        </is>
      </c>
      <c r="C94" s="107" t="n">
        <v>42000</v>
      </c>
    </row>
    <row r="95">
      <c r="A95" s="53" t="n">
        <v>45989</v>
      </c>
      <c r="B95" s="77" t="inlineStr">
        <is>
          <t>VISA CREDITO</t>
        </is>
      </c>
      <c r="C95" s="109" t="n">
        <v>114000</v>
      </c>
    </row>
    <row r="96">
      <c r="A96" s="105" t="n">
        <v>45990</v>
      </c>
      <c r="B96" s="106" t="inlineStr">
        <is>
          <t>VISA CREDITO</t>
        </is>
      </c>
      <c r="C96" s="107" t="n">
        <v>172100</v>
      </c>
    </row>
    <row r="97">
      <c r="A97" s="53" t="n">
        <v>45989</v>
      </c>
      <c r="B97" s="77" t="inlineStr">
        <is>
          <t>VISA DEBITO</t>
        </is>
      </c>
      <c r="C97" s="109" t="n">
        <v>42000</v>
      </c>
    </row>
    <row r="98">
      <c r="A98" s="105" t="n">
        <v>45990</v>
      </c>
      <c r="B98" s="106" t="inlineStr">
        <is>
          <t>NARANJA</t>
        </is>
      </c>
      <c r="C98" s="107" t="n">
        <v>243230</v>
      </c>
    </row>
    <row r="99">
      <c r="A99" s="53" t="n">
        <v>45990</v>
      </c>
      <c r="B99" s="77" t="inlineStr">
        <is>
          <t>NARANJA</t>
        </is>
      </c>
      <c r="C99" s="109" t="n">
        <v>11500</v>
      </c>
    </row>
    <row r="100">
      <c r="A100" s="105" t="n">
        <v>45992</v>
      </c>
      <c r="B100" s="106" t="inlineStr">
        <is>
          <t>NARANJA</t>
        </is>
      </c>
      <c r="C100" s="107" t="n">
        <v>19550</v>
      </c>
    </row>
    <row r="101">
      <c r="A101" s="53" t="n">
        <v>45992</v>
      </c>
      <c r="B101" s="77" t="inlineStr">
        <is>
          <t>VISA DEBITO</t>
        </is>
      </c>
      <c r="C101" s="109" t="n">
        <v>143500</v>
      </c>
    </row>
    <row r="102">
      <c r="A102" s="105" t="n">
        <v>45995</v>
      </c>
      <c r="B102" s="106" t="inlineStr">
        <is>
          <t>DATA</t>
        </is>
      </c>
      <c r="C102" s="107" t="n">
        <v>163880</v>
      </c>
    </row>
    <row r="103">
      <c r="A103" s="53" t="n">
        <v>45995</v>
      </c>
      <c r="B103" s="77" t="inlineStr">
        <is>
          <t>NARANJA</t>
        </is>
      </c>
      <c r="C103" s="109" t="n">
        <v>63500</v>
      </c>
    </row>
    <row r="104">
      <c r="A104" s="105" t="n">
        <v>45995</v>
      </c>
      <c r="B104" s="106" t="inlineStr">
        <is>
          <t>VISA DEBITO</t>
        </is>
      </c>
      <c r="C104" s="107" t="n">
        <v>4500</v>
      </c>
    </row>
    <row r="105">
      <c r="A105" s="53" t="n">
        <v>45995</v>
      </c>
      <c r="B105" s="77" t="inlineStr">
        <is>
          <t>DATA</t>
        </is>
      </c>
      <c r="C105" s="109" t="n">
        <v>163880</v>
      </c>
    </row>
    <row r="106">
      <c r="A106" s="105" t="n">
        <v>45996</v>
      </c>
      <c r="B106" s="106" t="inlineStr">
        <is>
          <t>DATA</t>
        </is>
      </c>
      <c r="C106" s="107" t="n">
        <v>74000</v>
      </c>
    </row>
    <row r="107">
      <c r="A107" s="53" t="n">
        <v>45996</v>
      </c>
      <c r="B107" s="77" t="inlineStr">
        <is>
          <t>NARANJA</t>
        </is>
      </c>
      <c r="C107" s="109" t="n">
        <v>42550</v>
      </c>
    </row>
    <row r="108">
      <c r="A108" s="105" t="n">
        <v>45996</v>
      </c>
      <c r="B108" s="106" t="inlineStr">
        <is>
          <t>NARANJA</t>
        </is>
      </c>
      <c r="C108" s="107" t="n">
        <v>137400</v>
      </c>
    </row>
    <row r="109">
      <c r="A109" s="53" t="n">
        <v>45997</v>
      </c>
      <c r="B109" s="77" t="inlineStr">
        <is>
          <t>NARANJA</t>
        </is>
      </c>
      <c r="C109" s="109" t="n">
        <v>201830</v>
      </c>
    </row>
    <row r="110">
      <c r="A110" s="105" t="n">
        <v>45997</v>
      </c>
      <c r="B110" s="106" t="inlineStr">
        <is>
          <t>VISA CREDITO</t>
        </is>
      </c>
      <c r="C110" s="107" t="n">
        <v>15600</v>
      </c>
    </row>
    <row r="111">
      <c r="A111" s="53" t="n">
        <v>45997</v>
      </c>
      <c r="B111" s="77" t="inlineStr">
        <is>
          <t>VISA CREDITO</t>
        </is>
      </c>
      <c r="C111" s="109" t="n">
        <v>13200</v>
      </c>
    </row>
    <row r="112">
      <c r="A112" s="105" t="n">
        <v>45997</v>
      </c>
      <c r="B112" s="106" t="inlineStr">
        <is>
          <t>NARANJA</t>
        </is>
      </c>
      <c r="C112" s="107" t="n">
        <v>87980</v>
      </c>
    </row>
    <row r="113">
      <c r="A113" s="53" t="n">
        <v>45997</v>
      </c>
      <c r="B113" s="77" t="inlineStr">
        <is>
          <t>DATA</t>
        </is>
      </c>
      <c r="C113" s="109" t="n">
        <v>28750</v>
      </c>
    </row>
    <row r="114">
      <c r="A114" s="105" t="n">
        <v>45997</v>
      </c>
      <c r="B114" s="106" t="inlineStr">
        <is>
          <t>NARANJA</t>
        </is>
      </c>
      <c r="C114" s="107" t="n">
        <v>58680</v>
      </c>
    </row>
    <row r="115">
      <c r="A115" s="53" t="n">
        <v>45997</v>
      </c>
      <c r="B115" s="77" t="inlineStr">
        <is>
          <t>DATA</t>
        </is>
      </c>
      <c r="C115" s="109" t="n">
        <v>220000</v>
      </c>
    </row>
    <row r="116">
      <c r="A116" s="105" t="n">
        <v>45998</v>
      </c>
      <c r="B116" s="106" t="inlineStr">
        <is>
          <t>NARANJA</t>
        </is>
      </c>
      <c r="C116" s="107" t="n">
        <v>74180</v>
      </c>
    </row>
    <row r="117">
      <c r="A117" s="53" t="n">
        <v>45998</v>
      </c>
      <c r="B117" s="77" t="inlineStr">
        <is>
          <t>NARANJA</t>
        </is>
      </c>
      <c r="C117" s="109" t="n">
        <v>29330</v>
      </c>
    </row>
    <row r="118">
      <c r="A118" s="105" t="n">
        <v>46001</v>
      </c>
      <c r="B118" s="106" t="inlineStr">
        <is>
          <t>DATA</t>
        </is>
      </c>
      <c r="C118" s="107" t="n">
        <v>28750</v>
      </c>
    </row>
    <row r="119">
      <c r="A119" s="53" t="n">
        <v>46001</v>
      </c>
      <c r="B119" s="77" t="inlineStr">
        <is>
          <t>DATA</t>
        </is>
      </c>
      <c r="C119" s="109" t="n">
        <v>13800</v>
      </c>
    </row>
    <row r="120">
      <c r="A120" s="105" t="n">
        <v>46001</v>
      </c>
      <c r="B120" s="106" t="inlineStr">
        <is>
          <t>DATA</t>
        </is>
      </c>
      <c r="C120" s="107" t="n">
        <v>124800</v>
      </c>
    </row>
    <row r="121">
      <c r="A121" s="53" t="n">
        <v>46001</v>
      </c>
      <c r="B121" s="77" t="inlineStr">
        <is>
          <t>DATA</t>
        </is>
      </c>
      <c r="C121" s="109" t="n">
        <v>91770</v>
      </c>
    </row>
    <row r="122">
      <c r="A122" s="105" t="n">
        <v>46001</v>
      </c>
      <c r="B122" s="106" t="inlineStr">
        <is>
          <t>VISA CREDITO</t>
        </is>
      </c>
      <c r="C122" s="107" t="n">
        <v>51000</v>
      </c>
    </row>
    <row r="123">
      <c r="A123" s="53" t="n">
        <v>46001</v>
      </c>
      <c r="B123" s="77" t="inlineStr">
        <is>
          <t>NARANJA</t>
        </is>
      </c>
      <c r="C123" s="109" t="n">
        <v>55200</v>
      </c>
    </row>
    <row r="124">
      <c r="A124" s="105" t="n">
        <v>46002</v>
      </c>
      <c r="B124" s="106" t="inlineStr">
        <is>
          <t>DATA</t>
        </is>
      </c>
      <c r="C124" s="107" t="n">
        <v>177100</v>
      </c>
    </row>
    <row r="125">
      <c r="A125" s="53" t="n">
        <v>46003</v>
      </c>
      <c r="B125" s="77" t="inlineStr">
        <is>
          <t>NARANJA</t>
        </is>
      </c>
      <c r="C125" s="109" t="n">
        <v>80500</v>
      </c>
    </row>
    <row r="126">
      <c r="A126" s="105" t="n">
        <v>46003</v>
      </c>
      <c r="B126" s="106" t="inlineStr">
        <is>
          <t>VISA CREDITO</t>
        </is>
      </c>
      <c r="C126" s="107" t="n">
        <v>72450</v>
      </c>
    </row>
    <row r="127">
      <c r="A127" s="53" t="n">
        <v>46003</v>
      </c>
      <c r="B127" s="77" t="inlineStr">
        <is>
          <t>NARANJA</t>
        </is>
      </c>
      <c r="C127" s="109" t="n">
        <v>67280</v>
      </c>
    </row>
    <row r="128">
      <c r="A128" s="105" t="n">
        <v>46003</v>
      </c>
      <c r="B128" s="106" t="inlineStr">
        <is>
          <t>NARANJA</t>
        </is>
      </c>
      <c r="C128" s="107" t="n">
        <v>68430</v>
      </c>
    </row>
    <row r="129">
      <c r="A129" s="53" t="n">
        <v>46004</v>
      </c>
      <c r="B129" s="77" t="inlineStr">
        <is>
          <t>NARANJA</t>
        </is>
      </c>
      <c r="C129" s="109" t="n">
        <v>47150</v>
      </c>
    </row>
    <row r="130">
      <c r="A130" s="105" t="n">
        <v>46004</v>
      </c>
      <c r="B130" s="106" t="inlineStr">
        <is>
          <t>NARANJA</t>
        </is>
      </c>
      <c r="C130" s="107" t="n">
        <v>37530</v>
      </c>
    </row>
    <row r="131">
      <c r="A131" s="53" t="n">
        <v>46004</v>
      </c>
      <c r="B131" s="77" t="inlineStr">
        <is>
          <t>NARANJA</t>
        </is>
      </c>
      <c r="C131" s="109" t="n">
        <v>17880</v>
      </c>
    </row>
    <row r="132">
      <c r="A132" s="105" t="n">
        <v>46004</v>
      </c>
      <c r="B132" s="106" t="inlineStr">
        <is>
          <t>NARANJA</t>
        </is>
      </c>
      <c r="C132" s="107" t="n">
        <v>19550</v>
      </c>
    </row>
    <row r="133">
      <c r="A133" s="53" t="n">
        <v>46006</v>
      </c>
      <c r="B133" s="77" t="inlineStr">
        <is>
          <t>DATA</t>
        </is>
      </c>
      <c r="C133" s="109" t="n">
        <v>206430</v>
      </c>
    </row>
    <row r="134">
      <c r="A134" s="105" t="n">
        <v>46007</v>
      </c>
      <c r="B134" s="106" t="inlineStr">
        <is>
          <t>NARANJA</t>
        </is>
      </c>
      <c r="C134" s="107" t="n">
        <v>31630</v>
      </c>
    </row>
    <row r="135">
      <c r="A135" s="53" t="n">
        <v>46008</v>
      </c>
      <c r="B135" s="77" t="inlineStr">
        <is>
          <t>MASTERCARD DEBITO</t>
        </is>
      </c>
      <c r="C135" s="109" t="n">
        <v>42000</v>
      </c>
    </row>
    <row r="136">
      <c r="A136" s="105" t="n">
        <v>46008</v>
      </c>
      <c r="B136" s="106" t="inlineStr">
        <is>
          <t>DATA</t>
        </is>
      </c>
      <c r="C136" s="107" t="n">
        <v>56700</v>
      </c>
    </row>
    <row r="137">
      <c r="A137" s="53" t="n">
        <v>46008</v>
      </c>
      <c r="B137" s="77" t="inlineStr">
        <is>
          <t>NARANJA</t>
        </is>
      </c>
      <c r="C137" s="109" t="n">
        <v>351325</v>
      </c>
    </row>
    <row r="138">
      <c r="A138" s="105" t="n">
        <v>46009</v>
      </c>
      <c r="B138" s="106" t="inlineStr">
        <is>
          <t>VISA DEBITO</t>
        </is>
      </c>
      <c r="C138" s="107" t="n">
        <v>12500</v>
      </c>
    </row>
    <row r="139">
      <c r="A139" s="53" t="n">
        <v>46009</v>
      </c>
      <c r="B139" s="77" t="inlineStr">
        <is>
          <t>VISA CREDITO</t>
        </is>
      </c>
      <c r="C139" s="109" t="n">
        <v>46730</v>
      </c>
    </row>
    <row r="140">
      <c r="A140" s="105" t="n">
        <v>46010</v>
      </c>
      <c r="B140" s="106" t="inlineStr">
        <is>
          <t>VISA DEBITO</t>
        </is>
      </c>
      <c r="C140" s="107" t="n">
        <v>67500</v>
      </c>
    </row>
    <row r="141">
      <c r="A141" s="53" t="n">
        <v>46010</v>
      </c>
      <c r="B141" s="77" t="inlineStr">
        <is>
          <t>VISA DEBITO</t>
        </is>
      </c>
      <c r="C141" s="109" t="n">
        <v>11000</v>
      </c>
    </row>
    <row r="142">
      <c r="A142" s="105" t="n">
        <v>46010</v>
      </c>
      <c r="B142" s="106" t="inlineStr">
        <is>
          <t>VISA DEBITO</t>
        </is>
      </c>
      <c r="C142" s="107" t="n">
        <v>55500</v>
      </c>
    </row>
    <row r="143">
      <c r="A143" s="53" t="n">
        <v>46010</v>
      </c>
      <c r="B143" s="77" t="inlineStr">
        <is>
          <t>DATA</t>
        </is>
      </c>
      <c r="C143" s="109" t="n">
        <v>95650</v>
      </c>
    </row>
    <row r="144">
      <c r="A144" s="105" t="n">
        <v>46010</v>
      </c>
      <c r="B144" s="106" t="inlineStr">
        <is>
          <t>VISA CREDITO</t>
        </is>
      </c>
      <c r="C144" s="107" t="n">
        <v>42000</v>
      </c>
    </row>
    <row r="145">
      <c r="A145" s="53" t="n">
        <v>46011</v>
      </c>
      <c r="B145" s="77" t="inlineStr">
        <is>
          <t>VISA DEBITO</t>
        </is>
      </c>
      <c r="C145" s="109" t="n">
        <v>57500</v>
      </c>
    </row>
    <row r="146">
      <c r="A146" s="105" t="n">
        <v>46012</v>
      </c>
      <c r="B146" s="106" t="inlineStr">
        <is>
          <t>MASTERCARD DEBITO</t>
        </is>
      </c>
      <c r="C146" s="107" t="n">
        <v>21000</v>
      </c>
    </row>
    <row r="147">
      <c r="A147" s="53" t="n">
        <v>46013</v>
      </c>
      <c r="B147" s="77" t="inlineStr">
        <is>
          <t>VISA DEBITO</t>
        </is>
      </c>
      <c r="C147" s="109" t="n">
        <v>23300</v>
      </c>
    </row>
    <row r="148">
      <c r="A148" s="105" t="n">
        <v>46014</v>
      </c>
      <c r="B148" s="106" t="inlineStr">
        <is>
          <t>NARANJA</t>
        </is>
      </c>
      <c r="C148" s="107" t="n">
        <v>61530</v>
      </c>
    </row>
    <row r="149">
      <c r="A149" s="53" t="n">
        <v>46014</v>
      </c>
      <c r="B149" s="77" t="inlineStr">
        <is>
          <t>VISA DEBITO</t>
        </is>
      </c>
      <c r="C149" s="109" t="n">
        <v>16500</v>
      </c>
    </row>
    <row r="150">
      <c r="A150" s="105" t="n">
        <v>46014</v>
      </c>
      <c r="B150" s="106" t="inlineStr">
        <is>
          <t>VISA DEBITO</t>
        </is>
      </c>
      <c r="C150" s="107" t="n">
        <v>43450</v>
      </c>
    </row>
    <row r="151">
      <c r="A151" s="53" t="n">
        <v>46014</v>
      </c>
      <c r="B151" s="77" t="inlineStr">
        <is>
          <t>MASTERCARD DEBITO</t>
        </is>
      </c>
      <c r="C151" s="109" t="n">
        <v>24000</v>
      </c>
    </row>
    <row r="152">
      <c r="A152" s="105" t="n">
        <v>46014</v>
      </c>
      <c r="B152" s="106" t="inlineStr">
        <is>
          <t>VISA DEBITO</t>
        </is>
      </c>
      <c r="C152" s="107" t="n">
        <v>12500</v>
      </c>
    </row>
    <row r="153">
      <c r="A153" s="53" t="n">
        <v>46015</v>
      </c>
      <c r="B153" s="77" t="inlineStr">
        <is>
          <t>MASTERCARD DEBITO</t>
        </is>
      </c>
      <c r="C153" s="109" t="n">
        <v>30000</v>
      </c>
    </row>
    <row r="154">
      <c r="A154" s="105" t="n">
        <v>46015</v>
      </c>
      <c r="B154" s="106" t="inlineStr">
        <is>
          <t>VISA DEBITO</t>
        </is>
      </c>
      <c r="C154" s="107" t="n">
        <v>20400</v>
      </c>
    </row>
    <row r="155">
      <c r="A155" s="53" t="n">
        <v>46015</v>
      </c>
      <c r="B155" s="77" t="inlineStr">
        <is>
          <t>NARANJA</t>
        </is>
      </c>
      <c r="C155" s="109" t="n">
        <v>196000</v>
      </c>
    </row>
    <row r="156">
      <c r="A156" s="105" t="n">
        <v>46015</v>
      </c>
      <c r="B156" s="106" t="inlineStr">
        <is>
          <t>VISA DEBITO</t>
        </is>
      </c>
      <c r="C156" s="107" t="n">
        <v>35200</v>
      </c>
    </row>
    <row r="157">
      <c r="A157" s="53" t="n">
        <v>46015</v>
      </c>
      <c r="B157" s="77" t="inlineStr">
        <is>
          <t>DATA</t>
        </is>
      </c>
      <c r="C157" s="109" t="n">
        <v>263120</v>
      </c>
    </row>
    <row r="158">
      <c r="A158" s="105" t="n">
        <v>46015</v>
      </c>
      <c r="B158" s="106" t="inlineStr">
        <is>
          <t>NARANJA</t>
        </is>
      </c>
      <c r="C158" s="107" t="n">
        <v>94300</v>
      </c>
    </row>
    <row r="159">
      <c r="A159" s="53" t="n">
        <v>46015</v>
      </c>
      <c r="B159" s="77" t="inlineStr">
        <is>
          <t>VISA CREDITO</t>
        </is>
      </c>
      <c r="C159" s="109" t="n">
        <v>163800</v>
      </c>
    </row>
    <row r="160">
      <c r="A160" s="105" t="n">
        <v>46017</v>
      </c>
      <c r="B160" s="106" t="inlineStr">
        <is>
          <t>NARANJA</t>
        </is>
      </c>
      <c r="C160" s="107" t="n">
        <v>118450</v>
      </c>
    </row>
    <row r="161">
      <c r="A161" s="53" t="n">
        <v>46017</v>
      </c>
      <c r="B161" s="77" t="inlineStr">
        <is>
          <t>MASTERCARD DEBITO</t>
        </is>
      </c>
      <c r="C161" s="109" t="n">
        <v>95000</v>
      </c>
    </row>
    <row r="162">
      <c r="A162" s="105" t="n">
        <v>46018</v>
      </c>
      <c r="B162" s="106" t="inlineStr">
        <is>
          <t>DATA</t>
        </is>
      </c>
      <c r="C162" s="107" t="n">
        <v>230000</v>
      </c>
    </row>
    <row r="163">
      <c r="A163" s="53" t="n">
        <v>46019</v>
      </c>
      <c r="B163" s="77" t="inlineStr">
        <is>
          <t>DATA</t>
        </is>
      </c>
      <c r="C163" s="109" t="n">
        <v>61530</v>
      </c>
    </row>
    <row r="164">
      <c r="A164" s="105" t="n">
        <v>46019</v>
      </c>
      <c r="B164" s="106" t="inlineStr">
        <is>
          <t>DATA</t>
        </is>
      </c>
      <c r="C164" s="107" t="n">
        <v>81000</v>
      </c>
    </row>
    <row r="165">
      <c r="A165" s="53" t="n">
        <v>46019</v>
      </c>
      <c r="B165" s="77" t="inlineStr">
        <is>
          <t>VISA DEBITO</t>
        </is>
      </c>
      <c r="C165" s="109" t="n">
        <v>48000</v>
      </c>
    </row>
    <row r="166">
      <c r="A166" s="105" t="n">
        <v>46020</v>
      </c>
      <c r="B166" s="106" t="inlineStr">
        <is>
          <t>NARANJA</t>
        </is>
      </c>
      <c r="C166" s="107" t="n">
        <v>20130</v>
      </c>
    </row>
    <row r="167">
      <c r="A167" s="53" t="n">
        <v>46020</v>
      </c>
      <c r="B167" s="77" t="inlineStr">
        <is>
          <t>VISA CREDITO</t>
        </is>
      </c>
      <c r="C167" s="109" t="n">
        <v>61500</v>
      </c>
    </row>
    <row r="168">
      <c r="A168" s="105" t="n">
        <v>46020</v>
      </c>
      <c r="B168" s="106" t="inlineStr">
        <is>
          <t>VISA DEBITO</t>
        </is>
      </c>
      <c r="C168" s="107" t="n">
        <v>21000</v>
      </c>
    </row>
    <row r="169">
      <c r="A169" s="53" t="n">
        <v>46020</v>
      </c>
      <c r="B169" s="77" t="inlineStr">
        <is>
          <t>VISA DEBITO</t>
        </is>
      </c>
      <c r="C169" s="109" t="n">
        <v>48000</v>
      </c>
    </row>
    <row r="170">
      <c r="A170" s="105" t="n">
        <v>46021</v>
      </c>
      <c r="B170" s="106" t="inlineStr">
        <is>
          <t>VISA DEBITO</t>
        </is>
      </c>
      <c r="C170" s="107" t="n">
        <v>9500</v>
      </c>
    </row>
    <row r="171">
      <c r="A171" s="53" t="n">
        <v>46021</v>
      </c>
      <c r="B171" s="77" t="inlineStr">
        <is>
          <t>DATA</t>
        </is>
      </c>
      <c r="C171" s="109" t="n">
        <v>164800</v>
      </c>
    </row>
    <row r="172">
      <c r="A172" s="105" t="n">
        <v>46022</v>
      </c>
      <c r="B172" s="106" t="inlineStr">
        <is>
          <t>VISA DEBITO</t>
        </is>
      </c>
      <c r="C172" s="107" t="n">
        <v>31500</v>
      </c>
    </row>
    <row r="173">
      <c r="A173" s="53" t="n">
        <v>46022</v>
      </c>
      <c r="B173" s="77" t="inlineStr">
        <is>
          <t>DATA</t>
        </is>
      </c>
      <c r="C173" s="109" t="n">
        <v>263930</v>
      </c>
    </row>
    <row r="174">
      <c r="A174" s="105" t="n">
        <v>46022</v>
      </c>
      <c r="B174" s="106" t="inlineStr">
        <is>
          <t>MASTERCARD CREDITO</t>
        </is>
      </c>
      <c r="C174" s="107" t="n">
        <v>126000</v>
      </c>
    </row>
    <row r="175">
      <c r="A175" s="53" t="n">
        <v>46022</v>
      </c>
      <c r="B175" s="77" t="inlineStr">
        <is>
          <t>NARANJA</t>
        </is>
      </c>
      <c r="C175" s="109" t="n">
        <v>49450</v>
      </c>
    </row>
    <row r="176">
      <c r="A176" s="105" t="n">
        <v>46024</v>
      </c>
      <c r="B176" s="106" t="inlineStr">
        <is>
          <t>DATA</t>
        </is>
      </c>
      <c r="C176" s="107" t="n">
        <v>63480</v>
      </c>
    </row>
    <row r="177">
      <c r="A177" s="53" t="n">
        <v>46025</v>
      </c>
      <c r="B177" s="77" t="inlineStr">
        <is>
          <t>DATA</t>
        </is>
      </c>
      <c r="C177" s="109" t="n">
        <v>94900</v>
      </c>
    </row>
    <row r="178">
      <c r="A178" s="105" t="n">
        <v>46025</v>
      </c>
      <c r="B178" s="106" t="inlineStr">
        <is>
          <t>DATA</t>
        </is>
      </c>
      <c r="C178" s="107" t="n">
        <v>14950</v>
      </c>
    </row>
    <row r="179">
      <c r="A179" s="53" t="n">
        <v>46025</v>
      </c>
      <c r="B179" s="77" t="inlineStr">
        <is>
          <t>DATA</t>
        </is>
      </c>
      <c r="C179" s="109" t="n">
        <v>46000</v>
      </c>
    </row>
    <row r="180">
      <c r="A180" s="105" t="n">
        <v>46025</v>
      </c>
      <c r="B180" s="106" t="inlineStr">
        <is>
          <t>NARANJA</t>
        </is>
      </c>
      <c r="C180" s="107" t="n">
        <v>53500</v>
      </c>
    </row>
    <row r="181">
      <c r="A181" s="53" t="n">
        <v>46026</v>
      </c>
      <c r="B181" s="77" t="inlineStr">
        <is>
          <t>DATA</t>
        </is>
      </c>
      <c r="C181" s="109" t="n">
        <v>60380</v>
      </c>
    </row>
    <row r="182">
      <c r="A182" s="105" t="n">
        <v>46027</v>
      </c>
      <c r="B182" s="106" t="inlineStr">
        <is>
          <t>VISA DEBITO</t>
        </is>
      </c>
      <c r="C182" s="107" t="n">
        <v>75300</v>
      </c>
    </row>
    <row r="183">
      <c r="A183" s="53" t="n">
        <v>46027</v>
      </c>
      <c r="B183" s="77" t="inlineStr">
        <is>
          <t>MASTERCARD DEBITO</t>
        </is>
      </c>
      <c r="C183" s="109" t="n">
        <v>63000</v>
      </c>
    </row>
    <row r="184">
      <c r="A184" s="105" t="n">
        <v>46027</v>
      </c>
      <c r="B184" s="106" t="inlineStr">
        <is>
          <t>DATA</t>
        </is>
      </c>
      <c r="C184" s="107" t="n">
        <v>8630</v>
      </c>
    </row>
    <row r="185">
      <c r="A185" s="53" t="n">
        <v>46027</v>
      </c>
      <c r="B185" s="77" t="inlineStr">
        <is>
          <t>DATA</t>
        </is>
      </c>
      <c r="C185" s="109" t="n">
        <v>32430</v>
      </c>
    </row>
    <row r="186">
      <c r="A186" s="105" t="n">
        <v>46027</v>
      </c>
      <c r="B186" s="106" t="inlineStr">
        <is>
          <t>FIEL</t>
        </is>
      </c>
      <c r="C186" s="107" t="n">
        <v>55550</v>
      </c>
    </row>
    <row r="187">
      <c r="A187" s="53" t="n">
        <v>46027</v>
      </c>
      <c r="B187" s="77" t="inlineStr">
        <is>
          <t>VISA CREDITO</t>
        </is>
      </c>
      <c r="C187" s="109" t="n">
        <v>85800</v>
      </c>
    </row>
    <row r="188">
      <c r="A188" s="105" t="n">
        <v>46027</v>
      </c>
      <c r="B188" s="106" t="inlineStr">
        <is>
          <t>VISA DEBITO</t>
        </is>
      </c>
      <c r="C188" s="107" t="n">
        <v>81000</v>
      </c>
    </row>
    <row r="189">
      <c r="A189" s="53" t="n">
        <v>46027</v>
      </c>
      <c r="B189" s="77" t="inlineStr">
        <is>
          <t>FIEL</t>
        </is>
      </c>
      <c r="C189" s="109" t="n">
        <v>63000</v>
      </c>
    </row>
    <row r="190">
      <c r="A190" s="105" t="n">
        <v>46028</v>
      </c>
      <c r="B190" s="106" t="inlineStr">
        <is>
          <t>NARANJA</t>
        </is>
      </c>
      <c r="C190" s="107" t="n">
        <v>40260</v>
      </c>
    </row>
    <row r="191">
      <c r="A191" s="53" t="n">
        <v>46029</v>
      </c>
      <c r="B191" s="77" t="inlineStr">
        <is>
          <t>VISA DEBITO</t>
        </is>
      </c>
      <c r="C191" s="109" t="n">
        <v>19000</v>
      </c>
    </row>
    <row r="192">
      <c r="A192" s="105" t="n">
        <v>46029</v>
      </c>
      <c r="B192" s="106" t="inlineStr">
        <is>
          <t>DATA</t>
        </is>
      </c>
      <c r="C192" s="107" t="n">
        <v>53480</v>
      </c>
    </row>
    <row r="193">
      <c r="A193" s="53" t="n">
        <v>46029</v>
      </c>
      <c r="B193" s="77" t="inlineStr">
        <is>
          <t>DATA</t>
        </is>
      </c>
      <c r="C193" s="109" t="n">
        <v>26450</v>
      </c>
    </row>
    <row r="194">
      <c r="A194" s="105" t="n">
        <v>46029</v>
      </c>
      <c r="B194" s="106" t="inlineStr">
        <is>
          <t>VISA CREDITO</t>
        </is>
      </c>
      <c r="C194" s="107" t="n">
        <v>54950</v>
      </c>
    </row>
    <row r="195">
      <c r="A195" s="53" t="n">
        <v>46029</v>
      </c>
      <c r="B195" s="77" t="inlineStr">
        <is>
          <t>VISA CREDITO</t>
        </is>
      </c>
      <c r="C195" s="109" t="n">
        <v>56350</v>
      </c>
    </row>
    <row r="196">
      <c r="A196" s="105" t="n">
        <v>46060</v>
      </c>
      <c r="B196" s="106" t="inlineStr">
        <is>
          <t>VISA CREDITO</t>
        </is>
      </c>
      <c r="C196" s="107" t="n">
        <v>20500</v>
      </c>
    </row>
    <row r="197">
      <c r="A197" s="53" t="n">
        <v>46030</v>
      </c>
      <c r="B197" s="77" t="inlineStr">
        <is>
          <t>VISA CREDITO</t>
        </is>
      </c>
      <c r="C197" s="109" t="n">
        <v>140000</v>
      </c>
    </row>
    <row r="198">
      <c r="A198" s="105" t="n">
        <v>46032</v>
      </c>
      <c r="B198" s="106" t="inlineStr">
        <is>
          <t>VISA CREDITO</t>
        </is>
      </c>
      <c r="C198" s="107" t="n">
        <v>130730</v>
      </c>
    </row>
    <row r="199">
      <c r="A199" s="53" t="n">
        <v>46032</v>
      </c>
      <c r="B199" s="77" t="inlineStr">
        <is>
          <t>DATA</t>
        </is>
      </c>
      <c r="C199" s="109" t="n">
        <v>90680</v>
      </c>
    </row>
    <row r="200">
      <c r="A200" s="105" t="n">
        <v>46033</v>
      </c>
      <c r="B200" s="106" t="inlineStr">
        <is>
          <t>VISA DEBITO</t>
        </is>
      </c>
      <c r="C200" s="107" t="n">
        <v>16000</v>
      </c>
    </row>
    <row r="201">
      <c r="A201" s="53" t="n">
        <v>46034</v>
      </c>
      <c r="B201" s="77" t="inlineStr">
        <is>
          <t>VISA DEBITO</t>
        </is>
      </c>
      <c r="C201" s="109" t="n">
        <v>27000</v>
      </c>
    </row>
    <row r="202">
      <c r="A202" s="105" t="n">
        <v>46035</v>
      </c>
      <c r="B202" s="106" t="inlineStr">
        <is>
          <t>NARANJA</t>
        </is>
      </c>
      <c r="C202" s="107" t="n">
        <v>27600</v>
      </c>
    </row>
    <row r="203">
      <c r="A203" s="53" t="n">
        <v>46035</v>
      </c>
      <c r="B203" s="77" t="inlineStr">
        <is>
          <t>NARANJA</t>
        </is>
      </c>
      <c r="C203" s="109" t="n">
        <v>107640</v>
      </c>
    </row>
    <row r="204">
      <c r="A204" s="105" t="n">
        <v>46035</v>
      </c>
      <c r="B204" s="106" t="inlineStr">
        <is>
          <t>DATA</t>
        </is>
      </c>
      <c r="C204" s="107" t="n">
        <v>182050</v>
      </c>
    </row>
    <row r="205">
      <c r="A205" s="53" t="n">
        <v>46037</v>
      </c>
      <c r="B205" s="77" t="inlineStr">
        <is>
          <t>VISA CREDITO</t>
        </is>
      </c>
      <c r="C205" s="109" t="n">
        <v>25000</v>
      </c>
    </row>
    <row r="206">
      <c r="A206" s="105" t="n">
        <v>46037</v>
      </c>
      <c r="B206" s="106" t="inlineStr">
        <is>
          <t>VISA CREDITO</t>
        </is>
      </c>
      <c r="C206" s="107" t="n">
        <v>176000</v>
      </c>
    </row>
    <row r="207">
      <c r="A207" s="53" t="n">
        <v>46037</v>
      </c>
      <c r="B207" s="77" t="inlineStr">
        <is>
          <t>DATA</t>
        </is>
      </c>
      <c r="C207" s="109" t="n">
        <v>85680</v>
      </c>
    </row>
    <row r="208">
      <c r="A208" s="105" t="n">
        <v>46038</v>
      </c>
      <c r="B208" s="106" t="inlineStr">
        <is>
          <t>NARANJA</t>
        </is>
      </c>
      <c r="C208" s="107" t="n">
        <v>31050</v>
      </c>
    </row>
    <row r="209">
      <c r="A209" s="53" t="n">
        <v>46038</v>
      </c>
      <c r="B209" s="77" t="inlineStr">
        <is>
          <t>VISA CREDITO</t>
        </is>
      </c>
      <c r="C209" s="109" t="n">
        <v>36750</v>
      </c>
    </row>
    <row r="210">
      <c r="A210" s="105" t="n">
        <v>46039</v>
      </c>
      <c r="B210" s="106" t="inlineStr">
        <is>
          <t>NARANJA</t>
        </is>
      </c>
      <c r="C210" s="107" t="n">
        <v>84525</v>
      </c>
    </row>
    <row r="211">
      <c r="A211" s="53" t="n">
        <v>46039</v>
      </c>
      <c r="B211" s="77" t="inlineStr">
        <is>
          <t>VISA DEBITO</t>
        </is>
      </c>
      <c r="C211" s="109" t="n">
        <v>95000</v>
      </c>
    </row>
    <row r="212">
      <c r="A212" s="105" t="n">
        <v>46039</v>
      </c>
      <c r="B212" s="106" t="inlineStr">
        <is>
          <t>VISA DEBITO</t>
        </is>
      </c>
      <c r="C212" s="107" t="n">
        <v>19500</v>
      </c>
    </row>
    <row r="213">
      <c r="A213" s="53" t="n">
        <v>46039</v>
      </c>
      <c r="B213" s="77" t="inlineStr">
        <is>
          <t>NARANJA</t>
        </is>
      </c>
      <c r="C213" s="109" t="n">
        <v>111840</v>
      </c>
    </row>
    <row r="214">
      <c r="A214" s="105" t="n">
        <v>46039</v>
      </c>
      <c r="B214" s="106" t="inlineStr">
        <is>
          <t>VISA DEBITO</t>
        </is>
      </c>
      <c r="C214" s="107" t="n">
        <v>45500</v>
      </c>
    </row>
    <row r="215">
      <c r="A215" s="53" t="n">
        <v>46039</v>
      </c>
      <c r="B215" s="77" t="inlineStr">
        <is>
          <t>DATA</t>
        </is>
      </c>
      <c r="C215" s="109" t="n">
        <v>68430</v>
      </c>
    </row>
    <row r="216">
      <c r="A216" s="105" t="n">
        <v>46040</v>
      </c>
      <c r="B216" s="106" t="inlineStr">
        <is>
          <t>VISA DEBITO</t>
        </is>
      </c>
      <c r="C216" s="107" t="n">
        <v>70000</v>
      </c>
    </row>
    <row r="217">
      <c r="A217" s="53" t="n">
        <v>46041</v>
      </c>
      <c r="B217" s="77" t="inlineStr">
        <is>
          <t>DATA</t>
        </is>
      </c>
      <c r="C217" s="109" t="n">
        <v>125930</v>
      </c>
    </row>
    <row r="218">
      <c r="A218" s="105" t="n">
        <v>46041</v>
      </c>
      <c r="B218" s="106" t="inlineStr">
        <is>
          <t>NARANJA</t>
        </is>
      </c>
      <c r="C218" s="107" t="n">
        <v>60000</v>
      </c>
    </row>
    <row r="219">
      <c r="A219" s="53" t="n">
        <v>46042</v>
      </c>
      <c r="B219" s="77" t="inlineStr">
        <is>
          <t>NARANJA</t>
        </is>
      </c>
      <c r="C219" s="109" t="n">
        <v>27600</v>
      </c>
    </row>
    <row r="220">
      <c r="A220" s="105" t="n">
        <v>46044</v>
      </c>
      <c r="B220" s="106" t="inlineStr">
        <is>
          <t>VISA DEBITO</t>
        </is>
      </c>
      <c r="C220" s="107" t="n">
        <v>22100</v>
      </c>
    </row>
    <row r="221">
      <c r="A221" s="53" t="n">
        <v>46046</v>
      </c>
      <c r="B221" s="77" t="inlineStr">
        <is>
          <t>NARANJA</t>
        </is>
      </c>
      <c r="C221" s="109" t="n">
        <v>33930</v>
      </c>
    </row>
    <row r="222">
      <c r="A222" s="105" t="n">
        <v>46046</v>
      </c>
      <c r="B222" s="106" t="inlineStr">
        <is>
          <t>NARANJA</t>
        </is>
      </c>
      <c r="C222" s="107" t="n">
        <v>24150</v>
      </c>
    </row>
    <row r="223">
      <c r="A223" s="53" t="n">
        <v>46051</v>
      </c>
      <c r="B223" s="77" t="inlineStr">
        <is>
          <t>VISA DEBITO</t>
        </is>
      </c>
      <c r="C223" s="109" t="n">
        <v>20000</v>
      </c>
    </row>
    <row r="224">
      <c r="A224" s="105" t="n">
        <v>46052</v>
      </c>
      <c r="B224" s="106" t="inlineStr">
        <is>
          <t>NARANJA</t>
        </is>
      </c>
      <c r="C224" s="107" t="n">
        <v>6300</v>
      </c>
    </row>
    <row r="225">
      <c r="A225" s="53" t="n">
        <v>46052</v>
      </c>
      <c r="B225" s="77" t="inlineStr">
        <is>
          <t>NARANJA</t>
        </is>
      </c>
      <c r="C225" s="109" t="n">
        <v>40830</v>
      </c>
    </row>
    <row r="226">
      <c r="A226" s="105" t="n">
        <v>46052</v>
      </c>
      <c r="B226" s="106" t="inlineStr">
        <is>
          <t>NARANJA</t>
        </is>
      </c>
      <c r="C226" s="107" t="n">
        <v>90000</v>
      </c>
    </row>
    <row r="227">
      <c r="A227" s="53" t="n">
        <v>46053</v>
      </c>
      <c r="B227" s="77" t="inlineStr">
        <is>
          <t>VISA DEBITO</t>
        </is>
      </c>
      <c r="C227" s="109" t="n">
        <v>18000</v>
      </c>
    </row>
    <row r="228">
      <c r="A228" s="105" t="n">
        <v>46053</v>
      </c>
      <c r="B228" s="106" t="inlineStr">
        <is>
          <t>DATA</t>
        </is>
      </c>
      <c r="C228" s="107" t="n">
        <v>47750</v>
      </c>
    </row>
    <row r="229">
      <c r="A229" s="53" t="n">
        <v>46053</v>
      </c>
      <c r="B229" s="77" t="inlineStr">
        <is>
          <t>DATA</t>
        </is>
      </c>
      <c r="C229" s="109" t="n">
        <v>25300</v>
      </c>
    </row>
    <row r="230">
      <c r="A230" s="105" t="n">
        <v>46054</v>
      </c>
      <c r="B230" s="106" t="inlineStr">
        <is>
          <t>DATA</t>
        </is>
      </c>
      <c r="C230" s="107" t="n">
        <v>14700</v>
      </c>
    </row>
    <row r="231">
      <c r="A231" s="53" t="n">
        <v>46055</v>
      </c>
      <c r="B231" s="77" t="inlineStr">
        <is>
          <t>NARANJA</t>
        </is>
      </c>
      <c r="C231" s="109" t="n">
        <v>205850</v>
      </c>
    </row>
    <row r="232">
      <c r="A232" s="105" t="n">
        <v>46056</v>
      </c>
      <c r="B232" s="106" t="inlineStr">
        <is>
          <t>DATA</t>
        </is>
      </c>
      <c r="C232" s="107" t="n">
        <v>30000</v>
      </c>
    </row>
    <row r="233">
      <c r="A233" s="53" t="n">
        <v>46059</v>
      </c>
      <c r="B233" s="77" t="inlineStr">
        <is>
          <t>FIEL</t>
        </is>
      </c>
      <c r="C233" s="109" t="n">
        <v>90850</v>
      </c>
    </row>
    <row r="234">
      <c r="A234" s="105" t="n">
        <v>46060</v>
      </c>
      <c r="B234" s="106" t="inlineStr">
        <is>
          <t>VISA DEBITO</t>
        </is>
      </c>
      <c r="C234" s="107" t="n">
        <v>17000</v>
      </c>
    </row>
    <row r="235">
      <c r="A235" s="53" t="n">
        <v>46060</v>
      </c>
      <c r="B235" s="77" t="inlineStr">
        <is>
          <t>VISA DEBITO</t>
        </is>
      </c>
      <c r="C235" s="109" t="n">
        <v>31000</v>
      </c>
    </row>
    <row r="236">
      <c r="A236" s="105" t="n">
        <v>46060</v>
      </c>
      <c r="B236" s="106" t="inlineStr">
        <is>
          <t>DATA</t>
        </is>
      </c>
      <c r="C236" s="107" t="n">
        <v>138700</v>
      </c>
    </row>
    <row r="237">
      <c r="A237" s="53" t="n">
        <v>46062</v>
      </c>
      <c r="B237" s="77" t="inlineStr">
        <is>
          <t>NARANJA</t>
        </is>
      </c>
      <c r="C237" s="109" t="n">
        <v>150650</v>
      </c>
    </row>
    <row r="238">
      <c r="A238" s="105" t="n">
        <v>46062</v>
      </c>
      <c r="B238" s="106" t="inlineStr">
        <is>
          <t>VISA DEBITO</t>
        </is>
      </c>
      <c r="C238" s="107" t="n">
        <v>16400</v>
      </c>
    </row>
    <row r="239">
      <c r="A239" s="53" t="n">
        <v>46062</v>
      </c>
      <c r="B239" s="77" t="inlineStr">
        <is>
          <t>VISA DEBITO</t>
        </is>
      </c>
      <c r="C239" s="109" t="n">
        <v>16400</v>
      </c>
    </row>
    <row r="240">
      <c r="A240" s="105" t="n">
        <v>46062</v>
      </c>
      <c r="B240" s="106" t="inlineStr">
        <is>
          <t>NARANJA</t>
        </is>
      </c>
      <c r="C240" s="107" t="n">
        <v>150650</v>
      </c>
    </row>
    <row r="241">
      <c r="A241" s="53" t="n">
        <v>46063</v>
      </c>
      <c r="B241" s="77" t="inlineStr">
        <is>
          <t>NARANJA</t>
        </is>
      </c>
      <c r="C241" s="109" t="n">
        <v>124230</v>
      </c>
    </row>
    <row r="242">
      <c r="A242" s="105" t="n">
        <v>46063</v>
      </c>
      <c r="B242" s="106" t="inlineStr">
        <is>
          <t>DATA</t>
        </is>
      </c>
      <c r="C242" s="107" t="n">
        <v>230000</v>
      </c>
    </row>
    <row r="243">
      <c r="A243" s="53" t="n">
        <v>46065</v>
      </c>
      <c r="B243" s="77" t="inlineStr">
        <is>
          <t>VISA CREDITO</t>
        </is>
      </c>
      <c r="C243" s="109" t="n">
        <v>78600</v>
      </c>
    </row>
    <row r="244">
      <c r="A244" s="105" t="n">
        <v>46066</v>
      </c>
      <c r="B244" s="106" t="inlineStr">
        <is>
          <t>NARANJA</t>
        </is>
      </c>
      <c r="C244" s="107" t="n">
        <v>9770</v>
      </c>
    </row>
    <row r="245">
      <c r="A245" s="53" t="n">
        <v>46066</v>
      </c>
      <c r="B245" s="77" t="inlineStr">
        <is>
          <t>NARANJA</t>
        </is>
      </c>
      <c r="C245" s="109" t="n">
        <v>45500</v>
      </c>
    </row>
    <row r="246">
      <c r="A246" s="105" t="n">
        <v>46067</v>
      </c>
      <c r="B246" s="106" t="inlineStr">
        <is>
          <t>VISA DEBITO</t>
        </is>
      </c>
      <c r="C246" s="107" t="n">
        <v>10000</v>
      </c>
    </row>
    <row r="247">
      <c r="A247" s="53" t="n">
        <v>46070</v>
      </c>
      <c r="B247" s="77" t="inlineStr">
        <is>
          <t>NARANJA</t>
        </is>
      </c>
      <c r="C247" s="109" t="n">
        <v>48300</v>
      </c>
    </row>
    <row r="248">
      <c r="A248" s="105" t="n">
        <v>46071</v>
      </c>
      <c r="B248" s="106" t="inlineStr">
        <is>
          <t>VISA CREDITO</t>
        </is>
      </c>
      <c r="C248" s="107" t="n">
        <v>11400</v>
      </c>
    </row>
    <row r="249">
      <c r="A249" s="53" t="n">
        <v>46072</v>
      </c>
      <c r="B249" s="77" t="inlineStr">
        <is>
          <t>NARANJA</t>
        </is>
      </c>
      <c r="C249" s="109" t="n">
        <v>88320</v>
      </c>
    </row>
    <row r="250">
      <c r="A250" s="105" t="n">
        <v>46073</v>
      </c>
      <c r="B250" s="106" t="inlineStr">
        <is>
          <t>VISA DEBITO</t>
        </is>
      </c>
      <c r="C250" s="107" t="n">
        <v>45000</v>
      </c>
    </row>
    <row r="251">
      <c r="A251" s="53" t="n">
        <v>46073</v>
      </c>
      <c r="B251" s="77" t="inlineStr">
        <is>
          <t>DATA</t>
        </is>
      </c>
      <c r="C251" s="109" t="n">
        <v>45430</v>
      </c>
    </row>
    <row r="252">
      <c r="A252" s="105" t="n">
        <v>46073</v>
      </c>
      <c r="B252" s="106" t="inlineStr">
        <is>
          <t>NARANJA</t>
        </is>
      </c>
      <c r="C252" s="107" t="n">
        <v>12080</v>
      </c>
    </row>
    <row r="253">
      <c r="A253" s="53" t="n">
        <v>46074</v>
      </c>
      <c r="B253" s="77" t="inlineStr">
        <is>
          <t>VISA DEBITO</t>
        </is>
      </c>
      <c r="C253" s="109" t="n">
        <v>90000</v>
      </c>
    </row>
    <row r="254">
      <c r="A254" s="105" t="n">
        <v>46074</v>
      </c>
      <c r="B254" s="106" t="inlineStr">
        <is>
          <t>DATA</t>
        </is>
      </c>
      <c r="C254" s="107" t="n">
        <v>48890</v>
      </c>
    </row>
    <row r="255">
      <c r="A255" s="53" t="n">
        <v>46074</v>
      </c>
      <c r="B255" s="77" t="inlineStr">
        <is>
          <t>DATA</t>
        </is>
      </c>
      <c r="C255" s="109" t="n">
        <v>25300</v>
      </c>
    </row>
    <row r="256">
      <c r="A256" s="105" t="n">
        <v>44979</v>
      </c>
      <c r="B256" s="106" t="inlineStr">
        <is>
          <t>DATA</t>
        </is>
      </c>
      <c r="C256" s="107" t="n">
        <v>75930</v>
      </c>
    </row>
    <row r="257">
      <c r="A257" s="53" t="n">
        <v>46075</v>
      </c>
      <c r="B257" s="77" t="inlineStr">
        <is>
          <t>DATA</t>
        </is>
      </c>
      <c r="C257" s="109" t="n">
        <v>75930</v>
      </c>
    </row>
    <row r="258">
      <c r="A258" s="105" t="n">
        <v>46078</v>
      </c>
      <c r="B258" s="106" t="inlineStr">
        <is>
          <t>NARANJA</t>
        </is>
      </c>
      <c r="C258" s="107" t="n">
        <v>15760</v>
      </c>
    </row>
    <row r="259">
      <c r="A259" s="53" t="n">
        <v>46078</v>
      </c>
      <c r="B259" s="77" t="inlineStr">
        <is>
          <t>DATA</t>
        </is>
      </c>
      <c r="C259" s="109" t="n">
        <v>19500</v>
      </c>
    </row>
    <row r="260">
      <c r="A260" s="105" t="n">
        <v>46079</v>
      </c>
      <c r="B260" s="106" t="inlineStr">
        <is>
          <t>DATA</t>
        </is>
      </c>
      <c r="C260" s="107" t="n">
        <v>165600</v>
      </c>
    </row>
    <row r="261">
      <c r="A261" s="53" t="n">
        <v>46080</v>
      </c>
      <c r="B261" s="77" t="inlineStr">
        <is>
          <t>VISA DEBITO</t>
        </is>
      </c>
      <c r="C261" s="109" t="n">
        <v>10000</v>
      </c>
    </row>
    <row r="262">
      <c r="A262" s="105" t="n">
        <v>46081</v>
      </c>
      <c r="B262" s="106" t="inlineStr">
        <is>
          <t>DATA</t>
        </is>
      </c>
      <c r="C262" s="107" t="n">
        <v>81650</v>
      </c>
    </row>
    <row r="263">
      <c r="A263" s="53" t="n">
        <v>46081</v>
      </c>
      <c r="B263" s="77" t="inlineStr">
        <is>
          <t>NARANJA</t>
        </is>
      </c>
      <c r="C263" s="109" t="n">
        <v>41400</v>
      </c>
    </row>
    <row r="264">
      <c r="A264" s="105" t="n">
        <v>46081</v>
      </c>
      <c r="B264" s="106" t="inlineStr">
        <is>
          <t>NARANJA</t>
        </is>
      </c>
      <c r="C264" s="107" t="n">
        <v>152380</v>
      </c>
    </row>
    <row r="265">
      <c r="A265" s="53" t="n">
        <v>46081</v>
      </c>
      <c r="B265" s="77" t="inlineStr">
        <is>
          <t>VISA DEBITO</t>
        </is>
      </c>
      <c r="C265" s="109" t="n">
        <v>36000</v>
      </c>
    </row>
    <row r="266">
      <c r="A266" s="105" t="n">
        <v>46081</v>
      </c>
      <c r="B266" s="106" t="inlineStr">
        <is>
          <t>NARANJA</t>
        </is>
      </c>
      <c r="C266" s="107" t="n">
        <v>32430</v>
      </c>
    </row>
    <row r="267">
      <c r="A267" s="53" t="n">
        <v>46081</v>
      </c>
      <c r="B267" s="77" t="inlineStr">
        <is>
          <t>DATA</t>
        </is>
      </c>
      <c r="C267" s="109" t="n">
        <v>27490</v>
      </c>
    </row>
    <row r="268">
      <c r="A268" s="105" t="n">
        <v>46081</v>
      </c>
      <c r="B268" s="106" t="inlineStr">
        <is>
          <t>NARANJA</t>
        </is>
      </c>
      <c r="C268" s="107" t="n">
        <v>17250</v>
      </c>
    </row>
    <row r="269">
      <c r="A269" s="53" t="n">
        <v>46082</v>
      </c>
      <c r="B269" s="77" t="inlineStr">
        <is>
          <t>NARANJA</t>
        </is>
      </c>
      <c r="C269" s="109" t="n">
        <v>11500</v>
      </c>
    </row>
    <row r="270">
      <c r="A270" s="105" t="n">
        <v>46083</v>
      </c>
      <c r="B270" s="106" t="inlineStr">
        <is>
          <t>NARANJA</t>
        </is>
      </c>
      <c r="C270" s="107" t="n">
        <v>63020</v>
      </c>
    </row>
    <row r="271">
      <c r="A271" s="53" t="n">
        <v>46083</v>
      </c>
      <c r="B271" s="77" t="inlineStr">
        <is>
          <t>NARANJA</t>
        </is>
      </c>
      <c r="C271" s="109" t="n">
        <v>41400</v>
      </c>
    </row>
    <row r="272">
      <c r="A272" s="105" t="n">
        <v>46083</v>
      </c>
      <c r="B272" s="106" t="inlineStr">
        <is>
          <t>MASTERCARD CREDITO</t>
        </is>
      </c>
      <c r="C272" s="107" t="n">
        <v>115000</v>
      </c>
    </row>
    <row r="273">
      <c r="A273" s="53" t="n">
        <v>46084</v>
      </c>
      <c r="B273" s="77" t="inlineStr">
        <is>
          <t>DATA</t>
        </is>
      </c>
      <c r="C273" s="109" t="n">
        <v>70000</v>
      </c>
    </row>
    <row r="274">
      <c r="A274" s="105" t="n">
        <v>46084</v>
      </c>
      <c r="B274" s="106" t="inlineStr">
        <is>
          <t>NARANJA</t>
        </is>
      </c>
      <c r="C274" s="107" t="n">
        <v>37380</v>
      </c>
    </row>
    <row r="275">
      <c r="A275" s="53" t="n">
        <v>46084</v>
      </c>
      <c r="B275" s="77" t="inlineStr">
        <is>
          <t>NARANJA</t>
        </is>
      </c>
      <c r="C275" s="109" t="n">
        <v>71330</v>
      </c>
    </row>
    <row r="276">
      <c r="A276" s="105" t="n">
        <v>46087</v>
      </c>
      <c r="B276" s="106" t="inlineStr">
        <is>
          <t>DATA</t>
        </is>
      </c>
      <c r="C276" s="107" t="n">
        <v>11550</v>
      </c>
    </row>
    <row r="277">
      <c r="A277" s="53" t="n">
        <v>46087</v>
      </c>
      <c r="B277" s="77" t="inlineStr">
        <is>
          <t>VISA CREDITO</t>
        </is>
      </c>
      <c r="C277" s="109" t="n">
        <v>75500</v>
      </c>
    </row>
    <row r="278">
      <c r="A278" s="105" t="n">
        <v>46089</v>
      </c>
      <c r="B278" s="106" t="inlineStr">
        <is>
          <t>NARANJA</t>
        </is>
      </c>
      <c r="C278" s="107" t="n">
        <v>92000</v>
      </c>
    </row>
    <row r="279">
      <c r="A279" s="53" t="n">
        <v>46089</v>
      </c>
      <c r="B279" s="77" t="inlineStr">
        <is>
          <t>NARANJA</t>
        </is>
      </c>
      <c r="C279" s="109" t="n">
        <v>78200</v>
      </c>
    </row>
    <row r="280">
      <c r="A280" s="105" t="n">
        <v>46089</v>
      </c>
      <c r="B280" s="106" t="inlineStr">
        <is>
          <t>VISA CREDITO</t>
        </is>
      </c>
      <c r="C280" s="107" t="n">
        <v>57500</v>
      </c>
    </row>
    <row r="281">
      <c r="A281" s="53" t="n">
        <v>46089</v>
      </c>
      <c r="B281" s="77" t="inlineStr">
        <is>
          <t>VISA DEBITO</t>
        </is>
      </c>
      <c r="C281" s="109" t="n">
        <v>65300</v>
      </c>
    </row>
    <row r="282">
      <c r="A282" s="105" t="n">
        <v>46089</v>
      </c>
      <c r="B282" s="106" t="inlineStr">
        <is>
          <t>DATA</t>
        </is>
      </c>
      <c r="C282" s="107" t="n">
        <v>64860</v>
      </c>
    </row>
    <row r="283">
      <c r="A283" s="53" t="n">
        <v>46090</v>
      </c>
      <c r="B283" s="77" t="inlineStr">
        <is>
          <t>DATA</t>
        </is>
      </c>
      <c r="C283" s="109" t="n">
        <v>51750</v>
      </c>
    </row>
    <row r="284">
      <c r="A284" s="105" t="n">
        <v>46090</v>
      </c>
      <c r="B284" s="106" t="inlineStr">
        <is>
          <t>DATA</t>
        </is>
      </c>
      <c r="C284" s="107" t="n">
        <v>28750</v>
      </c>
    </row>
    <row r="285">
      <c r="A285" s="53" t="n">
        <v>46090</v>
      </c>
      <c r="B285" s="77" t="inlineStr">
        <is>
          <t>NARANJA</t>
        </is>
      </c>
      <c r="C285" s="109" t="n">
        <v>111670</v>
      </c>
    </row>
    <row r="286">
      <c r="A286" s="105" t="n">
        <v>46092</v>
      </c>
      <c r="B286" s="106" t="inlineStr">
        <is>
          <t>VISA DEBITO</t>
        </is>
      </c>
      <c r="C286" s="107" t="n">
        <v>7500</v>
      </c>
    </row>
    <row r="287">
      <c r="A287" s="53" t="n">
        <v>46095</v>
      </c>
      <c r="B287" s="77" t="inlineStr">
        <is>
          <t>DATA</t>
        </is>
      </c>
      <c r="C287" s="109" t="n">
        <v>46000</v>
      </c>
    </row>
    <row r="288">
      <c r="A288" s="105" t="n">
        <v>46101</v>
      </c>
      <c r="B288" s="106" t="inlineStr">
        <is>
          <t>NARANJA</t>
        </is>
      </c>
      <c r="C288" s="107" t="n">
        <v>44850</v>
      </c>
    </row>
    <row r="289">
      <c r="A289" s="53" t="n">
        <v>46102</v>
      </c>
      <c r="B289" s="77" t="inlineStr">
        <is>
          <t>DATA</t>
        </is>
      </c>
      <c r="C289" s="109" t="n">
        <v>34500</v>
      </c>
    </row>
    <row r="290">
      <c r="A290" s="105" t="n">
        <v>46103</v>
      </c>
      <c r="B290" s="106" t="inlineStr">
        <is>
          <t>NARANJA</t>
        </is>
      </c>
      <c r="C290" s="107" t="n">
        <v>66100</v>
      </c>
    </row>
    <row r="291">
      <c r="A291" s="53" t="n">
        <v>46106</v>
      </c>
      <c r="B291" s="77" t="inlineStr">
        <is>
          <t>DATA</t>
        </is>
      </c>
      <c r="C291" s="109" t="n">
        <v>70150</v>
      </c>
    </row>
    <row r="292">
      <c r="A292" s="105" t="n">
        <v>46107</v>
      </c>
      <c r="B292" s="106" t="inlineStr">
        <is>
          <t>NARANJA</t>
        </is>
      </c>
      <c r="C292" s="107" t="n">
        <v>43700</v>
      </c>
    </row>
    <row r="293">
      <c r="A293" s="53" t="n">
        <v>46107</v>
      </c>
      <c r="B293" s="77" t="inlineStr">
        <is>
          <t>DATA</t>
        </is>
      </c>
      <c r="C293" s="109" t="n">
        <v>92000</v>
      </c>
    </row>
    <row r="294">
      <c r="A294" s="105" t="n">
        <v>46107</v>
      </c>
      <c r="B294" s="106" t="inlineStr">
        <is>
          <t>NARANJA</t>
        </is>
      </c>
      <c r="C294" s="107" t="n">
        <v>122000</v>
      </c>
    </row>
    <row r="295">
      <c r="A295" s="53" t="n">
        <v>46107</v>
      </c>
      <c r="B295" s="77" t="inlineStr">
        <is>
          <t>VISA DEBITO</t>
        </is>
      </c>
      <c r="C295" s="109" t="n">
        <v>23000</v>
      </c>
    </row>
    <row r="296">
      <c r="A296" s="105" t="n">
        <v>46109</v>
      </c>
      <c r="B296" s="106" t="inlineStr">
        <is>
          <t>DATA</t>
        </is>
      </c>
      <c r="C296" s="107" t="n">
        <v>19550</v>
      </c>
    </row>
    <row r="297">
      <c r="A297" s="53" t="n">
        <v>46111</v>
      </c>
      <c r="B297" s="77" t="inlineStr">
        <is>
          <t>NARANJA</t>
        </is>
      </c>
      <c r="C297" s="109" t="n">
        <v>227500</v>
      </c>
    </row>
    <row r="298">
      <c r="A298" s="105" t="n">
        <v>46111</v>
      </c>
      <c r="B298" s="106" t="inlineStr">
        <is>
          <t>DATA</t>
        </is>
      </c>
      <c r="C298" s="107" t="n">
        <v>97180</v>
      </c>
    </row>
    <row r="299">
      <c r="A299" s="53" t="n">
        <v>46112</v>
      </c>
      <c r="B299" s="77" t="inlineStr">
        <is>
          <t>DATA</t>
        </is>
      </c>
      <c r="C299" s="109" t="n">
        <v>72000</v>
      </c>
    </row>
    <row r="300">
      <c r="A300" s="105" t="n">
        <v>46112</v>
      </c>
      <c r="B300" s="106" t="inlineStr">
        <is>
          <t>DATA</t>
        </is>
      </c>
      <c r="C300" s="107" t="n">
        <v>38300</v>
      </c>
    </row>
    <row r="301">
      <c r="A301" s="53" t="n">
        <v>46113</v>
      </c>
      <c r="B301" s="77" t="inlineStr">
        <is>
          <t>DATA</t>
        </is>
      </c>
      <c r="C301" s="109" t="n">
        <v>41400</v>
      </c>
    </row>
    <row r="302">
      <c r="A302" s="105" t="n">
        <v>46113</v>
      </c>
      <c r="B302" s="106" t="inlineStr">
        <is>
          <t>VISA CREDITO</t>
        </is>
      </c>
      <c r="C302" s="107" t="n">
        <v>40000</v>
      </c>
    </row>
    <row r="303">
      <c r="A303" s="53" t="n">
        <v>46114</v>
      </c>
      <c r="B303" s="77" t="inlineStr">
        <is>
          <t>VISA DEBITO</t>
        </is>
      </c>
      <c r="C303" s="109" t="n">
        <v>34100</v>
      </c>
    </row>
    <row r="304">
      <c r="A304" s="105" t="n">
        <v>46116</v>
      </c>
      <c r="B304" s="106" t="inlineStr">
        <is>
          <t>DATA</t>
        </is>
      </c>
      <c r="C304" s="107" t="n">
        <v>102600</v>
      </c>
    </row>
    <row r="305">
      <c r="A305" s="53" t="n">
        <v>46116</v>
      </c>
      <c r="B305" s="77" t="inlineStr">
        <is>
          <t>VISA CREDITO</t>
        </is>
      </c>
      <c r="C305" s="109" t="n">
        <v>40950</v>
      </c>
    </row>
    <row r="306">
      <c r="A306" s="105" t="n">
        <v>46118</v>
      </c>
      <c r="B306" s="106" t="inlineStr">
        <is>
          <t>NARANJA</t>
        </is>
      </c>
      <c r="C306" s="107" t="n">
        <v>43700</v>
      </c>
    </row>
    <row r="307">
      <c r="A307" s="53" t="n">
        <v>46118</v>
      </c>
      <c r="B307" s="77" t="inlineStr">
        <is>
          <t>NARANJA</t>
        </is>
      </c>
      <c r="C307" s="109" t="n">
        <v>43700</v>
      </c>
    </row>
    <row r="308">
      <c r="A308" s="105" t="n">
        <v>46118</v>
      </c>
      <c r="B308" s="106" t="inlineStr">
        <is>
          <t>NARANJA</t>
        </is>
      </c>
      <c r="C308" s="107" t="n">
        <v>40500</v>
      </c>
    </row>
    <row r="309">
      <c r="A309" s="53" t="n">
        <v>46120</v>
      </c>
      <c r="B309" s="77" t="inlineStr">
        <is>
          <t>VISA DEBITO</t>
        </is>
      </c>
      <c r="C309" s="109" t="n">
        <v>25000</v>
      </c>
    </row>
    <row r="310">
      <c r="A310" s="105" t="n">
        <v>46120</v>
      </c>
      <c r="B310" s="106" t="inlineStr">
        <is>
          <t>VISA CREDITO</t>
        </is>
      </c>
      <c r="C310" s="107" t="n">
        <v>119730</v>
      </c>
    </row>
    <row r="311">
      <c r="A311" s="53" t="n">
        <v>46123</v>
      </c>
      <c r="B311" s="77" t="inlineStr">
        <is>
          <t>NARANJA</t>
        </is>
      </c>
      <c r="C311" s="109" t="n">
        <v>46430</v>
      </c>
    </row>
    <row r="312">
      <c r="A312" s="105" t="n">
        <v>46123</v>
      </c>
      <c r="B312" s="106" t="inlineStr">
        <is>
          <t>DATA</t>
        </is>
      </c>
      <c r="C312" s="107" t="n">
        <v>46100</v>
      </c>
    </row>
    <row r="313">
      <c r="A313" s="53" t="n">
        <v>46126</v>
      </c>
      <c r="B313" s="77" t="inlineStr">
        <is>
          <t>VISA CREDITO</t>
        </is>
      </c>
      <c r="C313" s="109" t="n">
        <v>120000</v>
      </c>
    </row>
    <row r="314">
      <c r="A314" s="105" t="n">
        <v>46127</v>
      </c>
      <c r="B314" s="106" t="inlineStr">
        <is>
          <t>DATA</t>
        </is>
      </c>
      <c r="C314" s="107" t="n">
        <v>105000</v>
      </c>
    </row>
    <row r="315">
      <c r="A315" s="53" t="n">
        <v>46127</v>
      </c>
      <c r="B315" s="77" t="inlineStr">
        <is>
          <t>DATA</t>
        </is>
      </c>
      <c r="C315" s="109" t="n">
        <v>205000</v>
      </c>
    </row>
    <row r="316">
      <c r="A316" s="105" t="n">
        <v>46130</v>
      </c>
      <c r="B316" s="106" t="inlineStr">
        <is>
          <t>DATA</t>
        </is>
      </c>
      <c r="C316" s="107" t="n">
        <v>239700</v>
      </c>
    </row>
    <row r="317">
      <c r="A317" s="53" t="n">
        <v>46130</v>
      </c>
      <c r="B317" s="77" t="inlineStr">
        <is>
          <t>DATA</t>
        </is>
      </c>
      <c r="C317" s="109" t="n">
        <v>74180</v>
      </c>
    </row>
    <row r="318">
      <c r="A318" s="105" t="n">
        <v>46130</v>
      </c>
      <c r="B318" s="106" t="inlineStr">
        <is>
          <t>VISA CREDITO</t>
        </is>
      </c>
      <c r="C318" s="107" t="n">
        <v>110000</v>
      </c>
    </row>
    <row r="319">
      <c r="A319" s="53" t="n">
        <v>46131</v>
      </c>
      <c r="B319" s="77" t="inlineStr">
        <is>
          <t>VISA CREDITO</t>
        </is>
      </c>
      <c r="C319" s="109" t="n">
        <v>23250</v>
      </c>
    </row>
    <row r="320">
      <c r="A320" s="105" t="n">
        <v>46131</v>
      </c>
      <c r="B320" s="106" t="inlineStr">
        <is>
          <t>NARANJA</t>
        </is>
      </c>
      <c r="C320" s="107" t="n">
        <v>240930</v>
      </c>
    </row>
    <row r="321">
      <c r="A321" s="53" t="n">
        <v>46132</v>
      </c>
      <c r="B321" s="77" t="inlineStr">
        <is>
          <t>NARANJA</t>
        </is>
      </c>
      <c r="C321" s="109" t="n">
        <v>261400</v>
      </c>
    </row>
    <row r="322">
      <c r="A322" s="105" t="n">
        <v>46132</v>
      </c>
      <c r="B322" s="106" t="inlineStr">
        <is>
          <t>DATA</t>
        </is>
      </c>
      <c r="C322" s="107" t="n">
        <v>346230</v>
      </c>
    </row>
    <row r="323">
      <c r="A323" s="53" t="n">
        <v>46132</v>
      </c>
      <c r="B323" s="77" t="inlineStr">
        <is>
          <t>VISA DEBITO</t>
        </is>
      </c>
      <c r="C323" s="109" t="n">
        <v>50000</v>
      </c>
    </row>
    <row r="324">
      <c r="A324" s="105" t="n">
        <v>46137</v>
      </c>
      <c r="B324" s="106" t="inlineStr">
        <is>
          <t>NARANJA</t>
        </is>
      </c>
      <c r="C324" s="107" t="n">
        <v>148000</v>
      </c>
    </row>
    <row r="325">
      <c r="A325" s="53" t="n">
        <v>46137</v>
      </c>
      <c r="B325" s="77" t="inlineStr">
        <is>
          <t>VISA DEBITO</t>
        </is>
      </c>
      <c r="C325" s="109" t="n">
        <v>86700</v>
      </c>
    </row>
    <row r="326">
      <c r="A326" s="105" t="n">
        <v>46141</v>
      </c>
      <c r="B326" s="106" t="inlineStr">
        <is>
          <t>VISA CREDITO</t>
        </is>
      </c>
      <c r="C326" s="107" t="n">
        <v>55000</v>
      </c>
    </row>
    <row r="327">
      <c r="A327" s="53" t="n">
        <v>46141</v>
      </c>
      <c r="B327" s="77" t="inlineStr">
        <is>
          <t>VISA CREDITO</t>
        </is>
      </c>
      <c r="C327" s="109" t="n">
        <v>92000</v>
      </c>
    </row>
    <row r="328">
      <c r="A328" s="105" t="n">
        <v>46144</v>
      </c>
      <c r="B328" s="106" t="inlineStr">
        <is>
          <t>VISA DEBITO</t>
        </is>
      </c>
      <c r="C328" s="107" t="n">
        <v>46000</v>
      </c>
    </row>
    <row r="329">
      <c r="A329" s="53" t="n">
        <v>46144</v>
      </c>
      <c r="B329" s="77" t="inlineStr">
        <is>
          <t>NARANJA</t>
        </is>
      </c>
      <c r="C329" s="109" t="n">
        <v>123630</v>
      </c>
    </row>
    <row r="330">
      <c r="A330" s="105" t="n">
        <v>46144</v>
      </c>
      <c r="B330" s="106" t="inlineStr">
        <is>
          <t>NARANJA</t>
        </is>
      </c>
      <c r="C330" s="107" t="n">
        <v>135700</v>
      </c>
    </row>
    <row r="331">
      <c r="A331" s="53" t="n">
        <v>46144</v>
      </c>
      <c r="B331" s="77" t="inlineStr">
        <is>
          <t>NARANJA</t>
        </is>
      </c>
      <c r="C331" s="109" t="n">
        <v>41400</v>
      </c>
    </row>
    <row r="332">
      <c r="A332" s="105" t="n">
        <v>46145</v>
      </c>
      <c r="B332" s="106" t="inlineStr">
        <is>
          <t>NARANJA</t>
        </is>
      </c>
      <c r="C332" s="107" t="n">
        <v>157550</v>
      </c>
    </row>
    <row r="333">
      <c r="A333" s="53" t="n">
        <v>46146</v>
      </c>
      <c r="B333" s="77" t="inlineStr">
        <is>
          <t>DATA</t>
        </is>
      </c>
      <c r="C333" s="109" t="n">
        <v>83250</v>
      </c>
    </row>
    <row r="334">
      <c r="A334" s="105" t="n">
        <v>46146</v>
      </c>
      <c r="B334" s="106" t="inlineStr">
        <is>
          <t>NARANJA</t>
        </is>
      </c>
      <c r="C334" s="107" t="n">
        <v>16680</v>
      </c>
    </row>
    <row r="335">
      <c r="A335" s="53" t="n">
        <v>46148</v>
      </c>
      <c r="B335" s="77" t="inlineStr">
        <is>
          <t>DATA</t>
        </is>
      </c>
      <c r="C335" s="109" t="n">
        <v>182850</v>
      </c>
    </row>
    <row r="336">
      <c r="A336" s="105" t="n">
        <v>46149</v>
      </c>
      <c r="B336" s="106" t="inlineStr">
        <is>
          <t>VISA DEBITO</t>
        </is>
      </c>
      <c r="C336" s="107" t="n">
        <v>7500</v>
      </c>
    </row>
    <row r="337">
      <c r="A337" s="53" t="n">
        <v>46150</v>
      </c>
      <c r="B337" s="77" t="inlineStr">
        <is>
          <t>NARANJA</t>
        </is>
      </c>
      <c r="C337" s="109" t="n">
        <v>100000</v>
      </c>
    </row>
    <row r="338">
      <c r="A338" s="105" t="n">
        <v>46151</v>
      </c>
      <c r="B338" s="106" t="inlineStr">
        <is>
          <t>VISA CREDITO</t>
        </is>
      </c>
      <c r="C338" s="107" t="n">
        <v>34500</v>
      </c>
    </row>
    <row r="339">
      <c r="A339" s="53" t="n">
        <v>46152</v>
      </c>
      <c r="B339" s="77" t="inlineStr">
        <is>
          <t>NARANJA</t>
        </is>
      </c>
      <c r="C339" s="109" t="n">
        <v>43700</v>
      </c>
    </row>
    <row r="340">
      <c r="A340" s="105" t="n">
        <v>46153</v>
      </c>
      <c r="B340" s="106" t="inlineStr">
        <is>
          <t>DATA</t>
        </is>
      </c>
      <c r="C340" s="107" t="n">
        <v>129000</v>
      </c>
    </row>
    <row r="341">
      <c r="A341" s="53" t="n">
        <v>46153</v>
      </c>
      <c r="B341" s="77" t="inlineStr">
        <is>
          <t>VISA CREDITO</t>
        </is>
      </c>
      <c r="C341" s="109" t="n">
        <v>39000</v>
      </c>
    </row>
    <row r="342">
      <c r="A342" s="105" t="n">
        <v>46154</v>
      </c>
      <c r="B342" s="106" t="inlineStr">
        <is>
          <t>VISA DEBITO</t>
        </is>
      </c>
      <c r="C342" s="107" t="n">
        <v>23200</v>
      </c>
    </row>
    <row r="343">
      <c r="A343" s="53" t="n">
        <v>46155</v>
      </c>
      <c r="B343" s="77" t="inlineStr">
        <is>
          <t>NARANJA</t>
        </is>
      </c>
      <c r="C343" s="109" t="n">
        <v>151230</v>
      </c>
    </row>
    <row r="344">
      <c r="A344" s="105" t="n">
        <v>46156</v>
      </c>
      <c r="B344" s="106" t="inlineStr">
        <is>
          <t>NARANJA</t>
        </is>
      </c>
      <c r="C344" s="107" t="n">
        <v>91100</v>
      </c>
    </row>
    <row r="345">
      <c r="A345" s="53" t="n">
        <v>46158</v>
      </c>
      <c r="B345" s="77" t="inlineStr">
        <is>
          <t>VISA CREDITO</t>
        </is>
      </c>
      <c r="C345" s="109" t="n">
        <v>53550</v>
      </c>
    </row>
    <row r="346">
      <c r="A346" s="105" t="n">
        <v>46158</v>
      </c>
      <c r="B346" s="106" t="inlineStr">
        <is>
          <t>VISA CREDITO</t>
        </is>
      </c>
      <c r="C346" s="107" t="n">
        <v>47150</v>
      </c>
    </row>
    <row r="347">
      <c r="A347" s="53" t="n">
        <v>46158</v>
      </c>
      <c r="B347" s="77" t="inlineStr">
        <is>
          <t>MASTERCARD DEBITO</t>
        </is>
      </c>
      <c r="C347" s="109" t="n">
        <v>167200</v>
      </c>
    </row>
    <row r="348">
      <c r="A348" s="105" t="n">
        <v>46158</v>
      </c>
      <c r="B348" s="106" t="inlineStr">
        <is>
          <t>VISA DEBITO</t>
        </is>
      </c>
      <c r="C348" s="107" t="n">
        <v>45000</v>
      </c>
    </row>
    <row r="349">
      <c r="A349" s="53" t="n">
        <v>46158</v>
      </c>
      <c r="B349" s="77" t="inlineStr">
        <is>
          <t>NARANJA</t>
        </is>
      </c>
      <c r="C349" s="109" t="n">
        <v>149500</v>
      </c>
    </row>
    <row r="350">
      <c r="A350" s="105" t="n">
        <v>46159</v>
      </c>
      <c r="B350" s="106" t="inlineStr">
        <is>
          <t>DATA</t>
        </is>
      </c>
      <c r="C350" s="107" t="n">
        <v>31630</v>
      </c>
    </row>
    <row r="351">
      <c r="A351" s="53" t="n">
        <v>46160</v>
      </c>
      <c r="B351" s="77" t="inlineStr">
        <is>
          <t>VISA DEBITO</t>
        </is>
      </c>
      <c r="C351" s="109" t="n">
        <v>67000</v>
      </c>
    </row>
    <row r="352">
      <c r="A352" s="105" t="n">
        <v>46160</v>
      </c>
      <c r="B352" s="106" t="inlineStr">
        <is>
          <t>NARANJA</t>
        </is>
      </c>
      <c r="C352" s="107" t="n">
        <v>37380</v>
      </c>
    </row>
    <row r="353">
      <c r="A353" s="53" t="n">
        <v>46160</v>
      </c>
      <c r="B353" s="77" t="inlineStr">
        <is>
          <t>NARANJA</t>
        </is>
      </c>
      <c r="C353" s="109" t="n">
        <v>43700</v>
      </c>
    </row>
    <row r="354">
      <c r="A354" s="105" t="n">
        <v>46161</v>
      </c>
      <c r="B354" s="106" t="inlineStr">
        <is>
          <t>VISA DEBITO</t>
        </is>
      </c>
      <c r="C354" s="107" t="n">
        <v>66000</v>
      </c>
    </row>
    <row r="355">
      <c r="A355" s="53" t="n">
        <v>46162</v>
      </c>
      <c r="B355" s="77" t="inlineStr">
        <is>
          <t>DATA</t>
        </is>
      </c>
      <c r="C355" s="109" t="n">
        <v>51180</v>
      </c>
    </row>
    <row r="356">
      <c r="A356" s="105" t="n">
        <v>46162</v>
      </c>
      <c r="B356" s="106" t="inlineStr">
        <is>
          <t>DATA</t>
        </is>
      </c>
      <c r="C356" s="107" t="n">
        <v>64980</v>
      </c>
    </row>
    <row r="357">
      <c r="A357" s="53" t="n">
        <v>46163</v>
      </c>
      <c r="B357" s="77" t="inlineStr">
        <is>
          <t>DATA</t>
        </is>
      </c>
      <c r="C357" s="109" t="n">
        <v>32200</v>
      </c>
    </row>
    <row r="358">
      <c r="A358" s="105" t="n">
        <v>46164</v>
      </c>
      <c r="B358" s="106" t="inlineStr">
        <is>
          <t>VISA DEBITO</t>
        </is>
      </c>
      <c r="C358" s="107" t="n">
        <v>20000</v>
      </c>
    </row>
    <row r="359">
      <c r="A359" s="53" t="n">
        <v>46164</v>
      </c>
      <c r="B359" s="77" t="inlineStr">
        <is>
          <t>VISA DEBITO</t>
        </is>
      </c>
      <c r="C359" s="109" t="n">
        <v>51300</v>
      </c>
    </row>
    <row r="360">
      <c r="A360" s="105" t="n">
        <v>46165</v>
      </c>
      <c r="B360" s="106" t="inlineStr">
        <is>
          <t>VISA DEBITO</t>
        </is>
      </c>
      <c r="C360" s="107" t="n">
        <v>16000</v>
      </c>
    </row>
    <row r="361">
      <c r="A361" s="53" t="n">
        <v>46165</v>
      </c>
      <c r="B361" s="77" t="inlineStr">
        <is>
          <t>NARANJA</t>
        </is>
      </c>
      <c r="C361" s="109" t="n">
        <v>121000</v>
      </c>
    </row>
    <row r="362">
      <c r="A362" s="105" t="n">
        <v>46166</v>
      </c>
      <c r="B362" s="106" t="inlineStr">
        <is>
          <t>VISA DEBITO</t>
        </is>
      </c>
      <c r="C362" s="107" t="n">
        <v>28000</v>
      </c>
    </row>
    <row r="363">
      <c r="A363" s="53" t="n">
        <v>46166</v>
      </c>
      <c r="B363" s="77" t="inlineStr">
        <is>
          <t>VISA DEBITO</t>
        </is>
      </c>
      <c r="C363" s="109" t="n">
        <v>54000</v>
      </c>
    </row>
    <row r="364">
      <c r="A364" s="105" t="n">
        <v>46166</v>
      </c>
      <c r="B364" s="106" t="inlineStr">
        <is>
          <t>VISA DEBITO</t>
        </is>
      </c>
      <c r="C364" s="107" t="n">
        <v>26000</v>
      </c>
    </row>
    <row r="365">
      <c r="A365" s="53" t="n">
        <v>46166</v>
      </c>
      <c r="B365" s="77" t="inlineStr">
        <is>
          <t>NARANJA</t>
        </is>
      </c>
      <c r="C365" s="109" t="n">
        <v>34500</v>
      </c>
    </row>
    <row r="366">
      <c r="A366" s="105" t="n">
        <v>46168</v>
      </c>
      <c r="B366" s="106" t="inlineStr">
        <is>
          <t>VISA CREDITO</t>
        </is>
      </c>
      <c r="C366" s="107" t="n">
        <v>58650</v>
      </c>
    </row>
    <row r="367">
      <c r="A367" s="53" t="n">
        <v>46168</v>
      </c>
      <c r="B367" s="77" t="inlineStr">
        <is>
          <t>VISA CREDITO</t>
        </is>
      </c>
      <c r="C367" s="109" t="n">
        <v>58650</v>
      </c>
    </row>
    <row r="368">
      <c r="A368" s="105" t="n">
        <v>46171</v>
      </c>
      <c r="B368" s="106" t="inlineStr">
        <is>
          <t>NARANJA</t>
        </is>
      </c>
      <c r="C368" s="107" t="n">
        <v>59230</v>
      </c>
    </row>
    <row r="369">
      <c r="A369" s="53" t="n">
        <v>46171</v>
      </c>
      <c r="B369" s="77" t="inlineStr">
        <is>
          <t>NARANJA</t>
        </is>
      </c>
      <c r="C369" s="109" t="n">
        <v>127650</v>
      </c>
    </row>
    <row r="370">
      <c r="A370" s="105" t="n">
        <v>46172</v>
      </c>
      <c r="B370" s="106" t="inlineStr">
        <is>
          <t>VISA DEBITO</t>
        </is>
      </c>
      <c r="C370" s="107" t="n">
        <v>100000</v>
      </c>
    </row>
    <row r="371">
      <c r="A371" s="53" t="n">
        <v>46172</v>
      </c>
      <c r="B371" s="77" t="inlineStr">
        <is>
          <t>VISA DEBITO</t>
        </is>
      </c>
      <c r="C371" s="109" t="n">
        <v>16000</v>
      </c>
    </row>
    <row r="372">
      <c r="A372" s="105" t="n">
        <v>46172</v>
      </c>
      <c r="B372" s="106" t="inlineStr">
        <is>
          <t>MASTERCARD DEBITO</t>
        </is>
      </c>
      <c r="C372" s="107" t="n">
        <v>33500</v>
      </c>
    </row>
    <row r="373">
      <c r="A373" s="53" t="n">
        <v>46174</v>
      </c>
      <c r="B373" s="77" t="inlineStr">
        <is>
          <t>VISA DEBITO</t>
        </is>
      </c>
      <c r="C373" s="109" t="n">
        <v>101000</v>
      </c>
    </row>
    <row r="374">
      <c r="A374" s="105" t="n">
        <v>46174</v>
      </c>
      <c r="B374" s="106" t="inlineStr">
        <is>
          <t>DATA</t>
        </is>
      </c>
      <c r="C374" s="107" t="n">
        <v>170200</v>
      </c>
    </row>
    <row r="375">
      <c r="A375" s="53" t="n">
        <v>46178</v>
      </c>
      <c r="B375" s="77" t="inlineStr">
        <is>
          <t>VISA DEBITO</t>
        </is>
      </c>
      <c r="C375" s="109" t="n">
        <v>16500</v>
      </c>
    </row>
    <row r="376">
      <c r="A376" s="105" t="n">
        <v>46178</v>
      </c>
      <c r="B376" s="106" t="inlineStr">
        <is>
          <t>DATA</t>
        </is>
      </c>
      <c r="C376" s="107" t="n">
        <v>54630</v>
      </c>
    </row>
    <row r="377">
      <c r="A377" s="53" t="n">
        <v>46181</v>
      </c>
      <c r="B377" s="77" t="inlineStr">
        <is>
          <t>DATA</t>
        </is>
      </c>
      <c r="C377" s="109" t="n">
        <v>89630</v>
      </c>
    </row>
    <row r="378">
      <c r="A378" s="105" t="n">
        <v>46181</v>
      </c>
      <c r="B378" s="106" t="inlineStr">
        <is>
          <t>DATA</t>
        </is>
      </c>
      <c r="C378" s="107" t="n">
        <v>32200</v>
      </c>
    </row>
    <row r="379">
      <c r="A379" s="53" t="n">
        <v>46150</v>
      </c>
      <c r="B379" s="77" t="inlineStr">
        <is>
          <t>NARANJA</t>
        </is>
      </c>
      <c r="C379" s="109" t="n">
        <v>28180</v>
      </c>
    </row>
    <row r="380">
      <c r="A380" s="105" t="n">
        <v>46182</v>
      </c>
      <c r="B380" s="106" t="inlineStr">
        <is>
          <t>DATA</t>
        </is>
      </c>
      <c r="C380" s="107" t="n">
        <v>95450</v>
      </c>
    </row>
    <row r="381">
      <c r="A381" s="53" t="n">
        <v>46182</v>
      </c>
      <c r="B381" s="77" t="inlineStr">
        <is>
          <t>DATA</t>
        </is>
      </c>
      <c r="C381" s="109" t="n">
        <v>139800</v>
      </c>
    </row>
    <row r="382">
      <c r="A382" s="105" t="n">
        <v>46183</v>
      </c>
      <c r="B382" s="106" t="inlineStr">
        <is>
          <t>VISA CREDITO</t>
        </is>
      </c>
      <c r="C382" s="107" t="n">
        <v>5000</v>
      </c>
    </row>
    <row r="383">
      <c r="A383" s="53" t="n">
        <v>46183</v>
      </c>
      <c r="B383" s="77" t="inlineStr">
        <is>
          <t>VISA CREDITO</t>
        </is>
      </c>
      <c r="C383" s="109" t="n">
        <v>22450</v>
      </c>
    </row>
    <row r="384">
      <c r="A384" s="105" t="n">
        <v>46183</v>
      </c>
      <c r="B384" s="106" t="inlineStr">
        <is>
          <t>FIEL</t>
        </is>
      </c>
      <c r="C384" s="107" t="n">
        <v>43700</v>
      </c>
    </row>
    <row r="385">
      <c r="A385" s="53" t="n">
        <v>46185</v>
      </c>
      <c r="B385" s="77" t="inlineStr">
        <is>
          <t>NARANJA</t>
        </is>
      </c>
      <c r="C385" s="109" t="n">
        <v>48300</v>
      </c>
    </row>
    <row r="386">
      <c r="A386" s="105" t="n">
        <v>46185</v>
      </c>
      <c r="B386" s="106" t="inlineStr">
        <is>
          <t>DATA</t>
        </is>
      </c>
      <c r="C386" s="107" t="n">
        <v>62680</v>
      </c>
    </row>
    <row r="387">
      <c r="A387" s="53" t="n">
        <v>46185</v>
      </c>
      <c r="B387" s="77" t="inlineStr">
        <is>
          <t>DATA</t>
        </is>
      </c>
      <c r="C387" s="109" t="n">
        <v>47780</v>
      </c>
    </row>
    <row r="388">
      <c r="A388" s="105" t="n">
        <v>46185</v>
      </c>
      <c r="B388" s="106" t="inlineStr">
        <is>
          <t>VISA DEBITO</t>
        </is>
      </c>
      <c r="C388" s="107" t="n">
        <v>24000</v>
      </c>
    </row>
    <row r="389">
      <c r="A389" s="53" t="n">
        <v>46186</v>
      </c>
      <c r="B389" s="77" t="inlineStr">
        <is>
          <t>VISA DEBITO</t>
        </is>
      </c>
      <c r="C389" s="109" t="n">
        <v>30000</v>
      </c>
    </row>
    <row r="390">
      <c r="A390" s="105" t="n">
        <v>46186</v>
      </c>
      <c r="B390" s="106" t="inlineStr">
        <is>
          <t>DATA</t>
        </is>
      </c>
      <c r="C390" s="107" t="n">
        <v>65000</v>
      </c>
    </row>
    <row r="391">
      <c r="A391" s="53" t="n">
        <v>46186</v>
      </c>
      <c r="B391" s="77" t="inlineStr">
        <is>
          <t>VISA CREDITO</t>
        </is>
      </c>
      <c r="C391" s="109" t="n">
        <v>241500</v>
      </c>
    </row>
    <row r="392">
      <c r="A392" s="105" t="n">
        <v>46186</v>
      </c>
      <c r="B392" s="106" t="inlineStr">
        <is>
          <t>DATA</t>
        </is>
      </c>
      <c r="C392" s="107" t="n">
        <v>127200</v>
      </c>
    </row>
    <row r="393">
      <c r="A393" s="53" t="n">
        <v>46188</v>
      </c>
      <c r="B393" s="77" t="inlineStr">
        <is>
          <t>VISA DEBITO</t>
        </is>
      </c>
      <c r="C393" s="109" t="n">
        <v>11000</v>
      </c>
    </row>
    <row r="394">
      <c r="A394" s="105" t="n">
        <v>46188</v>
      </c>
      <c r="B394" s="106" t="inlineStr">
        <is>
          <t>MASTERCARD CREDITO</t>
        </is>
      </c>
      <c r="C394" s="107" t="n">
        <v>69000</v>
      </c>
    </row>
    <row r="395">
      <c r="A395" s="53" t="n">
        <v>46188</v>
      </c>
      <c r="B395" s="77" t="inlineStr">
        <is>
          <t>NARANJA</t>
        </is>
      </c>
      <c r="C395" s="109" t="n">
        <v>109250</v>
      </c>
    </row>
    <row r="396">
      <c r="A396" s="105" t="n">
        <v>46189</v>
      </c>
      <c r="B396" s="106" t="inlineStr">
        <is>
          <t>DATA</t>
        </is>
      </c>
      <c r="C396" s="107" t="n">
        <v>167900</v>
      </c>
    </row>
    <row r="397">
      <c r="A397" s="53" t="n">
        <v>46189</v>
      </c>
      <c r="B397" s="77" t="inlineStr">
        <is>
          <t>VISA DEBITO</t>
        </is>
      </c>
      <c r="C397" s="109" t="n">
        <v>74000</v>
      </c>
    </row>
    <row r="398">
      <c r="A398" s="105" t="n">
        <v>46189</v>
      </c>
      <c r="B398" s="106" t="inlineStr">
        <is>
          <t>VISA CREDITO</t>
        </is>
      </c>
      <c r="C398" s="107" t="n">
        <v>32200</v>
      </c>
    </row>
    <row r="399">
      <c r="A399" s="53" t="n">
        <v>46191</v>
      </c>
      <c r="B399" s="77" t="inlineStr">
        <is>
          <t>FIEL</t>
        </is>
      </c>
      <c r="C399" s="109" t="n">
        <v>30000</v>
      </c>
    </row>
    <row r="400">
      <c r="A400" s="105" t="n">
        <v>46191</v>
      </c>
      <c r="B400" s="106" t="inlineStr">
        <is>
          <t>VISA DEBITO</t>
        </is>
      </c>
      <c r="C400" s="107" t="n">
        <v>20000</v>
      </c>
    </row>
    <row r="401">
      <c r="A401" s="53" t="n">
        <v>46191</v>
      </c>
      <c r="B401" s="77" t="inlineStr">
        <is>
          <t>VISA DEBITO</t>
        </is>
      </c>
      <c r="C401" s="109" t="n">
        <v>28000</v>
      </c>
    </row>
    <row r="402">
      <c r="A402" s="105" t="n">
        <v>46191</v>
      </c>
      <c r="B402" s="106" t="inlineStr">
        <is>
          <t>DATA</t>
        </is>
      </c>
      <c r="C402" s="107" t="n">
        <v>145000</v>
      </c>
    </row>
    <row r="403">
      <c r="A403" s="53" t="n">
        <v>46192</v>
      </c>
      <c r="B403" s="77" t="inlineStr">
        <is>
          <t>FIEL</t>
        </is>
      </c>
      <c r="C403" s="109" t="n">
        <v>343850</v>
      </c>
    </row>
    <row r="404">
      <c r="A404" s="105" t="n">
        <v>46192</v>
      </c>
      <c r="B404" s="106" t="inlineStr">
        <is>
          <t>NARANJA</t>
        </is>
      </c>
      <c r="C404" s="107" t="n">
        <v>116150</v>
      </c>
    </row>
    <row r="405">
      <c r="A405" s="53" t="n">
        <v>46192</v>
      </c>
      <c r="B405" s="77" t="inlineStr">
        <is>
          <t>DATA</t>
        </is>
      </c>
      <c r="C405" s="109" t="n">
        <v>51750</v>
      </c>
    </row>
    <row r="406">
      <c r="A406" s="105" t="n">
        <v>46192</v>
      </c>
      <c r="B406" s="106" t="inlineStr">
        <is>
          <t>MASTERCARD DEBITO</t>
        </is>
      </c>
      <c r="C406" s="107" t="n">
        <v>100500</v>
      </c>
    </row>
    <row r="407">
      <c r="A407" s="53" t="n">
        <v>46192</v>
      </c>
      <c r="B407" s="77" t="inlineStr">
        <is>
          <t>MASTERCARD DEBITO</t>
        </is>
      </c>
      <c r="C407" s="109" t="n">
        <v>76000</v>
      </c>
    </row>
    <row r="408">
      <c r="A408" s="105" t="n">
        <v>46192</v>
      </c>
      <c r="B408" s="106" t="inlineStr">
        <is>
          <t>NARANJA</t>
        </is>
      </c>
      <c r="C408" s="107" t="n">
        <v>94300</v>
      </c>
    </row>
    <row r="409">
      <c r="A409" s="53" t="n">
        <v>46192</v>
      </c>
      <c r="B409" s="77" t="inlineStr">
        <is>
          <t>NARANJA</t>
        </is>
      </c>
      <c r="C409" s="109" t="n">
        <v>43700</v>
      </c>
    </row>
    <row r="410">
      <c r="A410" s="105" t="n">
        <v>46192</v>
      </c>
      <c r="B410" s="106" t="inlineStr">
        <is>
          <t>VISA DEBITO</t>
        </is>
      </c>
      <c r="C410" s="107" t="n">
        <v>62000</v>
      </c>
    </row>
    <row r="411">
      <c r="A411" s="53" t="n">
        <v>46192</v>
      </c>
      <c r="B411" s="77" t="inlineStr">
        <is>
          <t>NARANJA</t>
        </is>
      </c>
      <c r="C411" s="109" t="n">
        <v>65550</v>
      </c>
    </row>
    <row r="412">
      <c r="A412" s="105" t="n">
        <v>46192</v>
      </c>
      <c r="B412" s="106" t="inlineStr">
        <is>
          <t>VISA DEBITO</t>
        </is>
      </c>
      <c r="C412" s="107" t="n">
        <v>46000</v>
      </c>
    </row>
    <row r="413">
      <c r="A413" s="53" t="n">
        <v>46192</v>
      </c>
      <c r="B413" s="77" t="inlineStr">
        <is>
          <t>NARANJA</t>
        </is>
      </c>
      <c r="C413" s="109" t="n">
        <v>146050</v>
      </c>
    </row>
    <row r="414">
      <c r="A414" s="105" t="n">
        <v>46193</v>
      </c>
      <c r="B414" s="106" t="inlineStr">
        <is>
          <t>DATA</t>
        </is>
      </c>
      <c r="C414" s="107" t="n">
        <v>87980</v>
      </c>
    </row>
    <row r="415">
      <c r="A415" s="53" t="n">
        <v>46193</v>
      </c>
      <c r="B415" s="77" t="inlineStr">
        <is>
          <t>VISA DEBITO</t>
        </is>
      </c>
      <c r="C415" s="109" t="n">
        <v>25500</v>
      </c>
    </row>
    <row r="416">
      <c r="A416" s="105" t="n">
        <v>46193</v>
      </c>
      <c r="B416" s="106" t="inlineStr">
        <is>
          <t>VISA DEBITO</t>
        </is>
      </c>
      <c r="C416" s="107" t="n">
        <v>63500</v>
      </c>
    </row>
    <row r="417">
      <c r="A417" s="53" t="n">
        <v>46193</v>
      </c>
      <c r="B417" s="77" t="inlineStr">
        <is>
          <t>DATA</t>
        </is>
      </c>
      <c r="C417" s="109" t="n">
        <v>265650</v>
      </c>
    </row>
    <row r="418">
      <c r="A418" s="105" t="n">
        <v>46193</v>
      </c>
      <c r="B418" s="106" t="inlineStr">
        <is>
          <t>NARANJA</t>
        </is>
      </c>
      <c r="C418" s="107" t="n">
        <v>69000</v>
      </c>
    </row>
    <row r="419">
      <c r="A419" s="53" t="n">
        <v>46194</v>
      </c>
      <c r="B419" s="77" t="inlineStr">
        <is>
          <t>FIEL</t>
        </is>
      </c>
      <c r="C419" s="109" t="n">
        <v>22430</v>
      </c>
    </row>
    <row r="420">
      <c r="A420" s="105" t="n">
        <v>46194</v>
      </c>
      <c r="B420" s="106" t="inlineStr">
        <is>
          <t>DATA</t>
        </is>
      </c>
      <c r="C420" s="107" t="n">
        <v>132250</v>
      </c>
    </row>
    <row r="421">
      <c r="A421" s="53" t="n">
        <v>46194</v>
      </c>
      <c r="B421" s="77" t="inlineStr">
        <is>
          <t>VISA DEBITO</t>
        </is>
      </c>
      <c r="C421" s="109" t="n">
        <v>6000</v>
      </c>
    </row>
    <row r="422">
      <c r="A422" s="105" t="n">
        <v>46194</v>
      </c>
      <c r="B422" s="106" t="inlineStr">
        <is>
          <t>VISA DEBITO</t>
        </is>
      </c>
      <c r="C422" s="107" t="n">
        <v>43500</v>
      </c>
    </row>
    <row r="423">
      <c r="A423" s="53" t="n">
        <v>46195</v>
      </c>
      <c r="B423" s="77" t="inlineStr">
        <is>
          <t>DATA</t>
        </is>
      </c>
      <c r="C423" s="109" t="n">
        <v>360070</v>
      </c>
    </row>
    <row r="424">
      <c r="A424" s="105" t="n">
        <v>46198</v>
      </c>
      <c r="B424" s="106" t="inlineStr">
        <is>
          <t>VISA DEBITO</t>
        </is>
      </c>
      <c r="C424" s="107" t="n">
        <v>46000</v>
      </c>
    </row>
    <row r="425">
      <c r="A425" s="53" t="n">
        <v>46199</v>
      </c>
      <c r="B425" s="77" t="inlineStr">
        <is>
          <t>VISA DEBITO</t>
        </is>
      </c>
      <c r="C425" s="109" t="n">
        <v>37300</v>
      </c>
    </row>
    <row r="426">
      <c r="A426" s="105" t="n">
        <v>46199</v>
      </c>
      <c r="B426" s="106" t="inlineStr">
        <is>
          <t>VISA DEBITO</t>
        </is>
      </c>
      <c r="C426" s="107" t="n">
        <v>79000</v>
      </c>
    </row>
    <row r="427">
      <c r="A427" s="53" t="n">
        <v>46199</v>
      </c>
      <c r="B427" s="77" t="inlineStr">
        <is>
          <t>VISA DEBITO</t>
        </is>
      </c>
      <c r="C427" s="109" t="n">
        <v>8000</v>
      </c>
    </row>
    <row r="428">
      <c r="A428" s="105" t="n">
        <v>46200</v>
      </c>
      <c r="B428" s="106" t="inlineStr">
        <is>
          <t>VISA DEBITO</t>
        </is>
      </c>
      <c r="C428" s="107" t="n">
        <v>56200</v>
      </c>
    </row>
    <row r="429">
      <c r="A429" s="53" t="n">
        <v>46200</v>
      </c>
      <c r="B429" s="77" t="inlineStr">
        <is>
          <t>VISA CREDITO</t>
        </is>
      </c>
      <c r="C429" s="109" t="n">
        <v>43000</v>
      </c>
    </row>
    <row r="430">
      <c r="A430" s="105" t="n">
        <v>46201</v>
      </c>
      <c r="B430" s="106" t="inlineStr">
        <is>
          <t>DATA</t>
        </is>
      </c>
      <c r="C430" s="107" t="n">
        <v>8630</v>
      </c>
    </row>
    <row r="431">
      <c r="A431" s="53" t="n">
        <v>46202</v>
      </c>
      <c r="B431" s="77" t="inlineStr">
        <is>
          <t>NARANJA</t>
        </is>
      </c>
      <c r="C431" s="109" t="n">
        <v>43700</v>
      </c>
    </row>
    <row r="432">
      <c r="A432" s="105" t="n">
        <v>46202</v>
      </c>
      <c r="B432" s="106" t="inlineStr">
        <is>
          <t>NARANJA</t>
        </is>
      </c>
      <c r="C432" s="107" t="n">
        <v>25300</v>
      </c>
    </row>
    <row r="433">
      <c r="A433" s="53" t="n">
        <v>46199</v>
      </c>
      <c r="B433" s="77" t="inlineStr">
        <is>
          <t>NARANJA</t>
        </is>
      </c>
      <c r="C433" s="109" t="n">
        <v>80730</v>
      </c>
    </row>
    <row r="434">
      <c r="A434" s="105" t="n">
        <v>46202</v>
      </c>
      <c r="B434" s="106" t="inlineStr">
        <is>
          <t>NARANJA</t>
        </is>
      </c>
      <c r="C434" s="107" t="n">
        <v>54630</v>
      </c>
    </row>
    <row r="435">
      <c r="A435" s="53" t="n">
        <v>46202</v>
      </c>
      <c r="B435" s="77" t="inlineStr">
        <is>
          <t>NARANJA</t>
        </is>
      </c>
      <c r="C435" s="109" t="n">
        <v>42320</v>
      </c>
    </row>
    <row r="436">
      <c r="A436" s="106" t="inlineStr">
        <is>
          <t>26/6/26.</t>
        </is>
      </c>
      <c r="B436" s="106" t="inlineStr">
        <is>
          <t>NARANJA</t>
        </is>
      </c>
      <c r="C436" s="107" t="n">
        <v>42320</v>
      </c>
    </row>
    <row r="437">
      <c r="A437" s="53" t="n">
        <v>46202</v>
      </c>
      <c r="B437" s="77" t="inlineStr">
        <is>
          <t>NARANJA</t>
        </is>
      </c>
      <c r="C437" s="109" t="n">
        <v>42320</v>
      </c>
    </row>
    <row r="438">
      <c r="A438" s="105" t="n">
        <v>46204</v>
      </c>
      <c r="B438" s="106" t="inlineStr">
        <is>
          <t>NARANJA</t>
        </is>
      </c>
      <c r="C438" s="107" t="n">
        <v>67850</v>
      </c>
    </row>
    <row r="439">
      <c r="A439" s="53" t="n">
        <v>46205</v>
      </c>
      <c r="B439" s="77" t="inlineStr">
        <is>
          <t>DATA</t>
        </is>
      </c>
      <c r="C439" s="109" t="n">
        <v>41980</v>
      </c>
    </row>
    <row r="440">
      <c r="A440" s="105" t="n">
        <v>46205</v>
      </c>
      <c r="B440" s="106" t="inlineStr">
        <is>
          <t>VISA DEBITO</t>
        </is>
      </c>
      <c r="C440" s="107" t="n">
        <v>18000</v>
      </c>
    </row>
    <row r="441">
      <c r="A441" s="53" t="n">
        <v>46207</v>
      </c>
      <c r="B441" s="77" t="inlineStr">
        <is>
          <t>VISA CREDITO</t>
        </is>
      </c>
      <c r="C441" s="109" t="n">
        <v>7500</v>
      </c>
    </row>
    <row r="442">
      <c r="A442" s="105" t="n">
        <v>46207</v>
      </c>
      <c r="B442" s="106" t="inlineStr">
        <is>
          <t>NARANJA</t>
        </is>
      </c>
      <c r="C442" s="107" t="n">
        <v>51750</v>
      </c>
    </row>
    <row r="443">
      <c r="A443" s="53" t="n">
        <v>46207</v>
      </c>
      <c r="B443" s="77" t="inlineStr">
        <is>
          <t>FIEL</t>
        </is>
      </c>
      <c r="C443" s="109" t="n">
        <v>37950</v>
      </c>
    </row>
    <row r="444">
      <c r="A444" s="105" t="n">
        <v>46207</v>
      </c>
      <c r="B444" s="106" t="inlineStr">
        <is>
          <t>VISA DEBITO</t>
        </is>
      </c>
      <c r="C444" s="107" t="n">
        <v>43000</v>
      </c>
    </row>
    <row r="445">
      <c r="A445" s="53" t="n">
        <v>46207</v>
      </c>
      <c r="B445" s="77" t="inlineStr">
        <is>
          <t>VISA CREDITO</t>
        </is>
      </c>
      <c r="C445" s="109" t="n">
        <v>120000</v>
      </c>
    </row>
    <row r="446">
      <c r="A446" s="105" t="n">
        <v>46207</v>
      </c>
      <c r="B446" s="106" t="inlineStr">
        <is>
          <t>VISA CREDITO</t>
        </is>
      </c>
      <c r="C446" s="107" t="n">
        <v>142800</v>
      </c>
    </row>
    <row r="447">
      <c r="A447" s="53" t="n">
        <v>46209</v>
      </c>
      <c r="B447" s="77" t="inlineStr">
        <is>
          <t>DATA</t>
        </is>
      </c>
      <c r="C447" s="109" t="n">
        <v>56930</v>
      </c>
    </row>
    <row r="448">
      <c r="A448" s="105" t="n">
        <v>46209</v>
      </c>
      <c r="B448" s="106" t="inlineStr">
        <is>
          <t>NARANJA</t>
        </is>
      </c>
      <c r="C448" s="107" t="n">
        <v>59000</v>
      </c>
    </row>
    <row r="449">
      <c r="A449" s="53" t="n">
        <v>46209</v>
      </c>
      <c r="B449" s="77" t="inlineStr">
        <is>
          <t>VISA DEBITO</t>
        </is>
      </c>
      <c r="C449" s="109" t="n">
        <v>8500</v>
      </c>
    </row>
    <row r="450">
      <c r="A450" s="105" t="n">
        <v>46209</v>
      </c>
      <c r="B450" s="106" t="inlineStr">
        <is>
          <t>VISA DEBITO</t>
        </is>
      </c>
      <c r="C450" s="107" t="n">
        <v>41500</v>
      </c>
    </row>
    <row r="451">
      <c r="A451" s="53" t="n">
        <v>46209</v>
      </c>
      <c r="B451" s="77" t="inlineStr">
        <is>
          <t>NARANJA</t>
        </is>
      </c>
      <c r="C451" s="109" t="n">
        <v>98700</v>
      </c>
    </row>
    <row r="452">
      <c r="A452" s="105" t="n">
        <v>46210</v>
      </c>
      <c r="B452" s="106" t="inlineStr">
        <is>
          <t>NARANJA</t>
        </is>
      </c>
      <c r="C452" s="107" t="n">
        <v>34500</v>
      </c>
    </row>
    <row r="453">
      <c r="A453" s="53" t="n">
        <v>46210</v>
      </c>
      <c r="B453" s="77" t="inlineStr">
        <is>
          <t>NARANJA</t>
        </is>
      </c>
      <c r="C453" s="109" t="n">
        <v>69580</v>
      </c>
    </row>
    <row r="454">
      <c r="A454" s="105" t="n">
        <v>46211</v>
      </c>
      <c r="B454" s="106" t="inlineStr">
        <is>
          <t>NARANJA</t>
        </is>
      </c>
      <c r="C454" s="107" t="n">
        <v>76480</v>
      </c>
    </row>
    <row r="455">
      <c r="A455" s="53" t="n">
        <v>46211</v>
      </c>
      <c r="B455" s="77" t="inlineStr">
        <is>
          <t>DATA</t>
        </is>
      </c>
      <c r="C455" s="109" t="n">
        <v>23000</v>
      </c>
    </row>
    <row r="456">
      <c r="A456" s="105" t="n">
        <v>46211</v>
      </c>
      <c r="B456" s="106" t="inlineStr">
        <is>
          <t>DATA</t>
        </is>
      </c>
      <c r="C456" s="107" t="n">
        <v>43700</v>
      </c>
    </row>
    <row r="457">
      <c r="A457" s="53" t="n">
        <v>46211</v>
      </c>
      <c r="B457" s="77" t="inlineStr">
        <is>
          <t>MASTERCARD CREDITO</t>
        </is>
      </c>
      <c r="C457" s="109" t="n">
        <v>168500</v>
      </c>
    </row>
    <row r="458">
      <c r="A458" s="105" t="n">
        <v>46211</v>
      </c>
      <c r="B458" s="106" t="inlineStr">
        <is>
          <t>VISA DEBITO</t>
        </is>
      </c>
      <c r="C458" s="107" t="n">
        <v>48000</v>
      </c>
    </row>
    <row r="459">
      <c r="A459" s="53" t="n">
        <v>46211</v>
      </c>
      <c r="B459" s="77" t="inlineStr">
        <is>
          <t>VISA DEBITO</t>
        </is>
      </c>
      <c r="C459" s="109" t="n">
        <v>30000</v>
      </c>
    </row>
    <row r="460">
      <c r="A460" s="105" t="n">
        <v>46213</v>
      </c>
      <c r="B460" s="106" t="inlineStr">
        <is>
          <t>NARANJA</t>
        </is>
      </c>
      <c r="C460" s="107" t="n">
        <v>127960</v>
      </c>
    </row>
    <row r="461">
      <c r="A461" s="53" t="n">
        <v>46213</v>
      </c>
      <c r="B461" s="77" t="inlineStr">
        <is>
          <t>VISA CREDITO</t>
        </is>
      </c>
      <c r="C461" s="109" t="n">
        <v>75000</v>
      </c>
    </row>
    <row r="462">
      <c r="A462" s="105" t="n">
        <v>46214</v>
      </c>
      <c r="B462" s="106" t="inlineStr">
        <is>
          <t>DATA</t>
        </is>
      </c>
      <c r="C462" s="107" t="n">
        <v>14300</v>
      </c>
    </row>
    <row r="463">
      <c r="A463" s="53" t="n">
        <v>46214</v>
      </c>
      <c r="B463" s="77" t="inlineStr">
        <is>
          <t>DATA</t>
        </is>
      </c>
      <c r="C463" s="109" t="n">
        <v>15530</v>
      </c>
    </row>
    <row r="464">
      <c r="A464" s="105" t="n">
        <v>46214</v>
      </c>
      <c r="B464" s="106" t="inlineStr">
        <is>
          <t>MASTERCARD DEBITO</t>
        </is>
      </c>
      <c r="C464" s="107" t="n">
        <v>17500</v>
      </c>
    </row>
    <row r="465">
      <c r="A465" s="53" t="n">
        <v>46216</v>
      </c>
      <c r="B465" s="77" t="inlineStr">
        <is>
          <t>VISA DEBITO</t>
        </is>
      </c>
      <c r="C465" s="109" t="n">
        <v>23000</v>
      </c>
    </row>
    <row r="466">
      <c r="A466" s="105" t="n">
        <v>46216</v>
      </c>
      <c r="B466" s="106" t="inlineStr">
        <is>
          <t>NARANJA</t>
        </is>
      </c>
      <c r="C466" s="107" t="n">
        <v>58630</v>
      </c>
    </row>
    <row r="467">
      <c r="A467" s="53" t="n">
        <v>46218</v>
      </c>
      <c r="B467" s="77" t="inlineStr">
        <is>
          <t>VISA CREDITO</t>
        </is>
      </c>
      <c r="C467" s="109" t="n">
        <v>18400</v>
      </c>
    </row>
    <row r="468">
      <c r="A468" s="105" t="n">
        <v>46218</v>
      </c>
      <c r="B468" s="106" t="inlineStr">
        <is>
          <t>VISA DEBITO</t>
        </is>
      </c>
      <c r="C468" s="107" t="n">
        <v>70000</v>
      </c>
    </row>
    <row r="469">
      <c r="A469" s="53" t="n">
        <v>46218</v>
      </c>
      <c r="B469" s="77" t="inlineStr">
        <is>
          <t>VISA CREDITO</t>
        </is>
      </c>
      <c r="C469" s="109" t="n">
        <v>44850</v>
      </c>
    </row>
    <row r="470">
      <c r="A470" s="105" t="n">
        <v>46218</v>
      </c>
      <c r="B470" s="106" t="inlineStr">
        <is>
          <t>MASTERCARD DEBITO</t>
        </is>
      </c>
      <c r="C470" s="107" t="n">
        <v>48000</v>
      </c>
    </row>
    <row r="471">
      <c r="A471" s="53" t="n">
        <v>46219</v>
      </c>
      <c r="B471" s="77" t="inlineStr">
        <is>
          <t>DATA</t>
        </is>
      </c>
      <c r="C471" s="109" t="n">
        <v>93840</v>
      </c>
    </row>
    <row r="472">
      <c r="A472" s="105" t="n">
        <v>46220</v>
      </c>
      <c r="B472" s="106" t="inlineStr">
        <is>
          <t>VISA DEBITO</t>
        </is>
      </c>
      <c r="C472" s="107" t="n">
        <v>16000</v>
      </c>
    </row>
    <row r="473">
      <c r="A473" s="53" t="n">
        <v>46221</v>
      </c>
      <c r="B473" s="77" t="inlineStr">
        <is>
          <t>NARANJA</t>
        </is>
      </c>
      <c r="C473" s="109" t="n">
        <v>33930</v>
      </c>
    </row>
    <row r="474">
      <c r="A474" s="105" t="n">
        <v>46221</v>
      </c>
      <c r="B474" s="106" t="inlineStr">
        <is>
          <t>VISA DEBITO</t>
        </is>
      </c>
      <c r="C474" s="107" t="n">
        <v>21000</v>
      </c>
    </row>
    <row r="475">
      <c r="A475" s="53" t="n">
        <v>46221</v>
      </c>
      <c r="B475" s="77" t="inlineStr">
        <is>
          <t>DATA</t>
        </is>
      </c>
      <c r="C475" s="109" t="n">
        <v>70150</v>
      </c>
    </row>
    <row r="476">
      <c r="A476" s="105" t="n">
        <v>46221</v>
      </c>
      <c r="B476" s="106" t="inlineStr">
        <is>
          <t>VISA CREDITO</t>
        </is>
      </c>
      <c r="C476" s="107" t="n">
        <v>50400</v>
      </c>
    </row>
    <row r="477">
      <c r="A477" s="53" t="n">
        <v>46221</v>
      </c>
      <c r="B477" s="77" t="inlineStr">
        <is>
          <t>VISA DEBITO</t>
        </is>
      </c>
      <c r="C477" s="109" t="n">
        <v>80500</v>
      </c>
    </row>
    <row r="478">
      <c r="A478" s="105" t="n">
        <v>46221</v>
      </c>
      <c r="B478" s="106" t="inlineStr">
        <is>
          <t>VISA CREDITO</t>
        </is>
      </c>
      <c r="C478" s="107" t="n">
        <v>20700</v>
      </c>
    </row>
    <row r="479">
      <c r="A479" s="53" t="n">
        <v>46223</v>
      </c>
      <c r="B479" s="77" t="inlineStr">
        <is>
          <t>DATA</t>
        </is>
      </c>
      <c r="C479" s="109" t="n">
        <v>24150</v>
      </c>
    </row>
    <row r="480">
      <c r="A480" s="105" t="n">
        <v>46224</v>
      </c>
      <c r="B480" s="106" t="inlineStr">
        <is>
          <t>DATA</t>
        </is>
      </c>
      <c r="C480" s="107" t="n">
        <v>20700</v>
      </c>
    </row>
    <row r="481">
      <c r="A481" s="53" t="n">
        <v>46226</v>
      </c>
      <c r="B481" s="77" t="inlineStr">
        <is>
          <t>FIEL</t>
        </is>
      </c>
      <c r="C481" s="109" t="n">
        <v>93500</v>
      </c>
    </row>
    <row r="482">
      <c r="A482" s="105" t="n">
        <v>46226</v>
      </c>
      <c r="B482" s="106" t="inlineStr">
        <is>
          <t>DATA</t>
        </is>
      </c>
      <c r="C482" s="107" t="n">
        <v>47150</v>
      </c>
    </row>
    <row r="483">
      <c r="A483" s="53" t="n">
        <v>46226</v>
      </c>
      <c r="B483" s="77" t="inlineStr">
        <is>
          <t>VISA DEBITO</t>
        </is>
      </c>
      <c r="C483" s="109" t="n">
        <v>71000</v>
      </c>
    </row>
    <row r="484">
      <c r="A484" s="105" t="n">
        <v>46227</v>
      </c>
      <c r="B484" s="106" t="inlineStr">
        <is>
          <t>NARANJA</t>
        </is>
      </c>
      <c r="C484" s="107" t="n">
        <v>23580</v>
      </c>
    </row>
    <row r="485">
      <c r="A485" s="53" t="n">
        <v>46228</v>
      </c>
      <c r="B485" s="77" t="inlineStr">
        <is>
          <t>NARANJA</t>
        </is>
      </c>
      <c r="C485" s="109" t="n">
        <v>61300</v>
      </c>
    </row>
    <row r="486">
      <c r="A486" s="105" t="n">
        <v>46228</v>
      </c>
      <c r="B486" s="106" t="inlineStr">
        <is>
          <t>NARANJA</t>
        </is>
      </c>
      <c r="C486" s="107" t="n">
        <v>23580</v>
      </c>
    </row>
    <row r="487">
      <c r="A487" s="53" t="n">
        <v>46229</v>
      </c>
      <c r="B487" s="77" t="inlineStr">
        <is>
          <t>VISA DEBITO</t>
        </is>
      </c>
      <c r="C487" s="109" t="n">
        <v>50000</v>
      </c>
    </row>
    <row r="488">
      <c r="A488" s="105" t="n">
        <v>46230</v>
      </c>
      <c r="B488" s="106" t="inlineStr">
        <is>
          <t>DATA</t>
        </is>
      </c>
      <c r="C488" s="107" t="n">
        <v>150305</v>
      </c>
    </row>
    <row r="489">
      <c r="A489" s="53" t="n">
        <v>46230</v>
      </c>
      <c r="B489" s="77" t="inlineStr">
        <is>
          <t>DATA</t>
        </is>
      </c>
      <c r="C489" s="109" t="n">
        <v>150540</v>
      </c>
    </row>
    <row r="490">
      <c r="A490" s="105" t="n">
        <v>46233</v>
      </c>
      <c r="B490" s="106" t="inlineStr">
        <is>
          <t>DATA</t>
        </is>
      </c>
      <c r="C490" s="107" t="n">
        <v>74750</v>
      </c>
    </row>
    <row r="491">
      <c r="A491" s="53" t="n">
        <v>46234</v>
      </c>
      <c r="B491" s="77" t="inlineStr">
        <is>
          <t>NARANJA</t>
        </is>
      </c>
      <c r="C491" s="109" t="n">
        <v>103500</v>
      </c>
    </row>
    <row r="492">
      <c r="A492" s="105" t="n">
        <v>46234</v>
      </c>
      <c r="B492" s="106" t="inlineStr">
        <is>
          <t>NARANJA</t>
        </is>
      </c>
      <c r="C492" s="107" t="n">
        <v>31100</v>
      </c>
    </row>
    <row r="493">
      <c r="A493" s="53" t="n">
        <v>46235</v>
      </c>
      <c r="B493" s="77" t="inlineStr">
        <is>
          <t>VISA DEBITO</t>
        </is>
      </c>
      <c r="C493" s="109" t="n">
        <v>36000</v>
      </c>
    </row>
    <row r="494">
      <c r="A494" s="105" t="n">
        <v>46235</v>
      </c>
      <c r="B494" s="106" t="inlineStr">
        <is>
          <t>DATA</t>
        </is>
      </c>
      <c r="C494" s="107" t="n">
        <v>35100</v>
      </c>
    </row>
    <row r="495">
      <c r="A495" s="53" t="n">
        <v>46237</v>
      </c>
      <c r="B495" s="77" t="inlineStr">
        <is>
          <t>NARANJA</t>
        </is>
      </c>
      <c r="C495" s="109" t="n">
        <v>50600</v>
      </c>
    </row>
    <row r="496">
      <c r="A496" s="105" t="n">
        <v>46238</v>
      </c>
      <c r="B496" s="106" t="inlineStr">
        <is>
          <t>VISA CREDITO</t>
        </is>
      </c>
      <c r="C496" s="107" t="n">
        <v>70000</v>
      </c>
    </row>
    <row r="497">
      <c r="A497" s="53" t="n">
        <v>46240</v>
      </c>
      <c r="B497" s="77" t="inlineStr">
        <is>
          <t>FIEL</t>
        </is>
      </c>
      <c r="C497" s="109" t="n">
        <v>79930</v>
      </c>
    </row>
    <row r="498">
      <c r="A498" s="105" t="n">
        <v>46240</v>
      </c>
      <c r="B498" s="106" t="inlineStr">
        <is>
          <t>DATA</t>
        </is>
      </c>
      <c r="C498" s="107" t="n">
        <v>17250</v>
      </c>
    </row>
    <row r="499">
      <c r="A499" s="53" t="n">
        <v>46241</v>
      </c>
      <c r="B499" s="77" t="inlineStr">
        <is>
          <t>DATA</t>
        </is>
      </c>
      <c r="C499" s="109" t="n">
        <v>151800</v>
      </c>
    </row>
    <row r="500">
      <c r="A500" s="105" t="n">
        <v>46242</v>
      </c>
      <c r="B500" s="106" t="inlineStr">
        <is>
          <t>VISA DEBITO</t>
        </is>
      </c>
      <c r="C500" s="107" t="n">
        <v>10400</v>
      </c>
    </row>
    <row r="501">
      <c r="A501" s="53" t="n">
        <v>46242</v>
      </c>
      <c r="B501" s="77" t="inlineStr">
        <is>
          <t>DATA</t>
        </is>
      </c>
      <c r="C501" s="109" t="n">
        <v>20700</v>
      </c>
    </row>
    <row r="502">
      <c r="A502" s="105" t="n">
        <v>46242</v>
      </c>
      <c r="B502" s="106" t="inlineStr">
        <is>
          <t>VISA CREDITO</t>
        </is>
      </c>
      <c r="C502" s="107" t="n">
        <v>120750</v>
      </c>
    </row>
    <row r="503">
      <c r="A503" s="53" t="n">
        <v>46244</v>
      </c>
      <c r="B503" s="77" t="inlineStr">
        <is>
          <t>NARANJA</t>
        </is>
      </c>
      <c r="C503" s="109" t="n">
        <v>80500</v>
      </c>
    </row>
    <row r="504">
      <c r="A504" s="105" t="n">
        <v>46244</v>
      </c>
      <c r="B504" s="106" t="inlineStr">
        <is>
          <t>VISA DEBITO</t>
        </is>
      </c>
      <c r="C504" s="107" t="n">
        <v>45000</v>
      </c>
    </row>
    <row r="505">
      <c r="A505" s="53" t="n">
        <v>46245</v>
      </c>
      <c r="B505" s="77" t="inlineStr">
        <is>
          <t>NARANJA</t>
        </is>
      </c>
      <c r="C505" s="109" t="n">
        <v>20800</v>
      </c>
    </row>
    <row r="506">
      <c r="A506" s="105" t="n">
        <v>46247</v>
      </c>
      <c r="B506" s="106" t="inlineStr">
        <is>
          <t>VISA DEBITO</t>
        </is>
      </c>
      <c r="C506" s="107" t="n">
        <v>58000</v>
      </c>
    </row>
    <row r="507">
      <c r="A507" s="53" t="n">
        <v>46248</v>
      </c>
      <c r="B507" s="77" t="inlineStr">
        <is>
          <t>DATA</t>
        </is>
      </c>
      <c r="C507" s="109" t="n">
        <v>92000</v>
      </c>
    </row>
    <row r="508">
      <c r="A508" s="105" t="n">
        <v>46248</v>
      </c>
      <c r="B508" s="106" t="inlineStr">
        <is>
          <t>DATA</t>
        </is>
      </c>
      <c r="C508" s="107" t="n">
        <v>152030</v>
      </c>
    </row>
    <row r="509">
      <c r="A509" s="53" t="n">
        <v>46248</v>
      </c>
      <c r="B509" s="77" t="inlineStr">
        <is>
          <t>DATA</t>
        </is>
      </c>
      <c r="C509" s="109" t="n">
        <v>231730</v>
      </c>
    </row>
    <row r="510">
      <c r="A510" s="105" t="n">
        <v>46249</v>
      </c>
      <c r="B510" s="106" t="inlineStr">
        <is>
          <t>VISA DEBITO</t>
        </is>
      </c>
      <c r="C510" s="107" t="n">
        <v>26000</v>
      </c>
    </row>
    <row r="511">
      <c r="A511" s="53" t="n">
        <v>46249</v>
      </c>
      <c r="B511" s="77" t="inlineStr">
        <is>
          <t>VISA DEBITO</t>
        </is>
      </c>
      <c r="C511" s="109" t="n">
        <v>18500</v>
      </c>
    </row>
    <row r="512">
      <c r="A512" s="105" t="n">
        <v>46249</v>
      </c>
      <c r="B512" s="106" t="inlineStr">
        <is>
          <t>VISA DEBITO</t>
        </is>
      </c>
      <c r="C512" s="107" t="n">
        <v>10000</v>
      </c>
    </row>
    <row r="513">
      <c r="A513" s="53" t="n">
        <v>46249</v>
      </c>
      <c r="B513" s="77" t="inlineStr">
        <is>
          <t>FIEL</t>
        </is>
      </c>
      <c r="C513" s="109" t="n">
        <v>67280</v>
      </c>
    </row>
    <row r="514">
      <c r="A514" s="105" t="n">
        <v>46249</v>
      </c>
      <c r="B514" s="106" t="inlineStr">
        <is>
          <t>DATA</t>
        </is>
      </c>
      <c r="C514" s="107" t="n">
        <v>125350</v>
      </c>
    </row>
    <row r="515">
      <c r="A515" s="53" t="n">
        <v>46249</v>
      </c>
      <c r="B515" s="77" t="inlineStr">
        <is>
          <t>DATA</t>
        </is>
      </c>
      <c r="C515" s="109" t="n">
        <v>50028</v>
      </c>
    </row>
    <row r="516">
      <c r="A516" s="105" t="n">
        <v>46249</v>
      </c>
      <c r="B516" s="106" t="inlineStr">
        <is>
          <t>NARANJA</t>
        </is>
      </c>
      <c r="C516" s="107" t="n">
        <v>62680</v>
      </c>
    </row>
    <row r="517">
      <c r="A517" s="53" t="n">
        <v>46250</v>
      </c>
      <c r="B517" s="77" t="inlineStr">
        <is>
          <t>VISA CREDITO</t>
        </is>
      </c>
      <c r="C517" s="109" t="n">
        <v>80850</v>
      </c>
    </row>
    <row r="518">
      <c r="A518" s="105" t="n">
        <v>46250</v>
      </c>
      <c r="B518" s="106" t="inlineStr">
        <is>
          <t>MASTERCARD DEBITO</t>
        </is>
      </c>
      <c r="C518" s="107" t="n">
        <v>25300</v>
      </c>
    </row>
    <row r="519">
      <c r="A519" s="53" t="n">
        <v>46250</v>
      </c>
      <c r="B519" s="77" t="inlineStr">
        <is>
          <t>DATA</t>
        </is>
      </c>
      <c r="C519" s="109" t="n">
        <v>34500</v>
      </c>
    </row>
    <row r="520">
      <c r="A520" s="105" t="n">
        <v>46250</v>
      </c>
      <c r="B520" s="106" t="inlineStr">
        <is>
          <t>NARANJA</t>
        </is>
      </c>
      <c r="C520" s="107" t="n">
        <v>34250</v>
      </c>
    </row>
    <row r="521">
      <c r="A521" s="53" t="n">
        <v>46255</v>
      </c>
      <c r="B521" s="77" t="inlineStr">
        <is>
          <t>NARANJA</t>
        </is>
      </c>
      <c r="C521" s="109" t="n">
        <v>407680</v>
      </c>
    </row>
    <row r="522">
      <c r="A522" s="105" t="n">
        <v>46256</v>
      </c>
      <c r="B522" s="106" t="inlineStr">
        <is>
          <t>DATA</t>
        </is>
      </c>
      <c r="C522" s="107" t="n">
        <v>20700</v>
      </c>
    </row>
    <row r="523">
      <c r="A523" s="53" t="n">
        <v>46257</v>
      </c>
      <c r="B523" s="77" t="inlineStr">
        <is>
          <t>DATA</t>
        </is>
      </c>
      <c r="C523" s="109" t="n">
        <v>77050</v>
      </c>
    </row>
    <row r="524">
      <c r="A524" s="43" t="n"/>
      <c r="C524" s="77" t="n"/>
    </row>
    <row r="525">
      <c r="A525" s="43" t="n"/>
      <c r="C525" s="77" t="n"/>
    </row>
    <row r="526">
      <c r="A526" s="43" t="n"/>
      <c r="C526" s="77" t="n"/>
    </row>
    <row r="527">
      <c r="A527" s="43" t="n"/>
      <c r="C527" s="77" t="n"/>
    </row>
    <row r="528">
      <c r="A528" s="43" t="n"/>
      <c r="C528" s="77" t="n"/>
    </row>
    <row r="529">
      <c r="A529" s="43" t="n"/>
      <c r="C529" s="77" t="n"/>
    </row>
    <row r="530">
      <c r="A530" s="43" t="n"/>
      <c r="C530" s="77" t="n"/>
    </row>
    <row r="531">
      <c r="A531" s="43" t="n"/>
      <c r="C531" s="77" t="n"/>
    </row>
    <row r="532">
      <c r="A532" s="43" t="n"/>
      <c r="C532" s="77" t="n"/>
    </row>
    <row r="533">
      <c r="A533" s="43" t="n"/>
      <c r="C533" s="77" t="n"/>
    </row>
    <row r="534">
      <c r="A534" s="43" t="n"/>
      <c r="C534" s="77" t="n"/>
    </row>
    <row r="535">
      <c r="A535" s="43" t="n"/>
      <c r="C535" s="77" t="n"/>
    </row>
    <row r="536">
      <c r="A536" s="43" t="n"/>
      <c r="C536" s="77" t="n"/>
    </row>
    <row r="537">
      <c r="A537" s="43" t="n"/>
      <c r="C537" s="77" t="n"/>
    </row>
    <row r="538">
      <c r="A538" s="43" t="n"/>
      <c r="C538" s="77" t="n"/>
    </row>
    <row r="539">
      <c r="A539" s="43" t="n"/>
      <c r="C539" s="77" t="n"/>
    </row>
    <row r="540">
      <c r="A540" s="43" t="n"/>
      <c r="C540" s="77" t="n"/>
    </row>
    <row r="541">
      <c r="A541" s="43" t="n"/>
      <c r="C541" s="77" t="n"/>
    </row>
    <row r="542">
      <c r="A542" s="43" t="n"/>
      <c r="C542" s="77" t="n"/>
    </row>
    <row r="543">
      <c r="A543" s="43" t="n"/>
      <c r="C543" s="77" t="n"/>
    </row>
    <row r="544">
      <c r="A544" s="43" t="n"/>
      <c r="C544" s="77" t="n"/>
    </row>
    <row r="545">
      <c r="A545" s="43" t="n"/>
      <c r="C545" s="77" t="n"/>
    </row>
    <row r="546">
      <c r="A546" s="43" t="n"/>
      <c r="C546" s="77" t="n"/>
    </row>
    <row r="547">
      <c r="A547" s="43" t="n"/>
      <c r="C547" s="77" t="n"/>
    </row>
    <row r="548">
      <c r="A548" s="43" t="n"/>
      <c r="C548" s="77" t="n"/>
    </row>
    <row r="549">
      <c r="A549" s="43" t="n"/>
      <c r="C549" s="77" t="n"/>
    </row>
    <row r="550">
      <c r="A550" s="43" t="n"/>
      <c r="C550" s="77" t="n"/>
    </row>
    <row r="551">
      <c r="A551" s="43" t="n"/>
      <c r="C551" s="77" t="n"/>
    </row>
    <row r="552">
      <c r="A552" s="43" t="n"/>
      <c r="C552" s="77" t="n"/>
    </row>
    <row r="553">
      <c r="A553" s="43" t="n"/>
      <c r="C553" s="77" t="n"/>
    </row>
    <row r="554">
      <c r="A554" s="43" t="n"/>
      <c r="C554" s="77" t="n"/>
    </row>
    <row r="555">
      <c r="A555" s="43" t="n"/>
      <c r="C555" s="77" t="n"/>
    </row>
    <row r="556">
      <c r="A556" s="43" t="n"/>
      <c r="C556" s="77" t="n"/>
    </row>
    <row r="557">
      <c r="A557" s="43" t="n"/>
      <c r="C557" s="77" t="n"/>
    </row>
    <row r="558">
      <c r="A558" s="43" t="n"/>
      <c r="C558" s="77" t="n"/>
    </row>
    <row r="559">
      <c r="A559" s="43" t="n"/>
      <c r="C559" s="77" t="n"/>
    </row>
    <row r="560">
      <c r="A560" s="43" t="n"/>
      <c r="C560" s="77" t="n"/>
    </row>
    <row r="561">
      <c r="A561" s="43" t="n"/>
      <c r="C561" s="77" t="n"/>
    </row>
    <row r="562">
      <c r="A562" s="43" t="n"/>
      <c r="C562" s="77" t="n"/>
    </row>
    <row r="563">
      <c r="A563" s="43" t="n"/>
      <c r="C563" s="77" t="n"/>
    </row>
    <row r="564">
      <c r="A564" s="43" t="n"/>
      <c r="C564" s="77" t="n"/>
    </row>
    <row r="565">
      <c r="A565" s="43" t="n"/>
      <c r="C565" s="77" t="n"/>
    </row>
    <row r="566">
      <c r="A566" s="43" t="n"/>
      <c r="C566" s="77" t="n"/>
    </row>
    <row r="567">
      <c r="A567" s="43" t="n"/>
      <c r="C567" s="77" t="n"/>
    </row>
    <row r="568">
      <c r="A568" s="43" t="n"/>
      <c r="C568" s="77" t="n"/>
    </row>
    <row r="569">
      <c r="A569" s="43" t="n"/>
      <c r="C569" s="77" t="n"/>
    </row>
    <row r="570">
      <c r="A570" s="43" t="n"/>
      <c r="C570" s="77" t="n"/>
    </row>
    <row r="571">
      <c r="A571" s="43" t="n"/>
      <c r="C571" s="77" t="n"/>
    </row>
    <row r="572">
      <c r="A572" s="43" t="n"/>
      <c r="C572" s="77" t="n"/>
    </row>
    <row r="573">
      <c r="A573" s="43" t="n"/>
      <c r="C573" s="77" t="n"/>
    </row>
    <row r="574">
      <c r="A574" s="43" t="n"/>
      <c r="C574" s="77" t="n"/>
    </row>
    <row r="575">
      <c r="A575" s="43" t="n"/>
      <c r="C575" s="77" t="n"/>
    </row>
    <row r="576">
      <c r="A576" s="43" t="n"/>
      <c r="C576" s="77" t="n"/>
    </row>
    <row r="577">
      <c r="A577" s="43" t="n"/>
      <c r="C577" s="77" t="n"/>
    </row>
    <row r="578">
      <c r="A578" s="43" t="n"/>
      <c r="C578" s="77" t="n"/>
    </row>
    <row r="579">
      <c r="A579" s="43" t="n"/>
      <c r="C579" s="77" t="n"/>
    </row>
    <row r="580">
      <c r="A580" s="43" t="n"/>
      <c r="C580" s="77" t="n"/>
    </row>
    <row r="581">
      <c r="A581" s="43" t="n"/>
      <c r="C581" s="77" t="n"/>
    </row>
    <row r="582">
      <c r="A582" s="43" t="n"/>
      <c r="C582" s="77" t="n"/>
    </row>
    <row r="583">
      <c r="A583" s="43" t="n"/>
      <c r="C583" s="77" t="n"/>
    </row>
    <row r="584">
      <c r="A584" s="43" t="n"/>
      <c r="C584" s="77" t="n"/>
    </row>
    <row r="585">
      <c r="A585" s="43" t="n"/>
      <c r="C585" s="77" t="n"/>
    </row>
    <row r="586">
      <c r="A586" s="43" t="n"/>
      <c r="C586" s="77" t="n"/>
    </row>
    <row r="587">
      <c r="A587" s="43" t="n"/>
      <c r="C587" s="77" t="n"/>
    </row>
    <row r="588">
      <c r="A588" s="43" t="n"/>
      <c r="C588" s="77" t="n"/>
    </row>
    <row r="589">
      <c r="A589" s="43" t="n"/>
      <c r="C589" s="77" t="n"/>
    </row>
    <row r="590">
      <c r="A590" s="43" t="n"/>
      <c r="C590" s="77" t="n"/>
    </row>
    <row r="591">
      <c r="A591" s="43" t="n"/>
      <c r="C591" s="77" t="n"/>
    </row>
    <row r="592">
      <c r="A592" s="43" t="n"/>
      <c r="C592" s="77" t="n"/>
    </row>
    <row r="593">
      <c r="A593" s="43" t="n"/>
      <c r="C593" s="77" t="n"/>
    </row>
    <row r="594">
      <c r="A594" s="43" t="n"/>
      <c r="C594" s="77" t="n"/>
    </row>
    <row r="595">
      <c r="A595" s="43" t="n"/>
      <c r="C595" s="77" t="n"/>
    </row>
    <row r="596">
      <c r="A596" s="43" t="n"/>
      <c r="C596" s="77" t="n"/>
    </row>
    <row r="597">
      <c r="A597" s="43" t="n"/>
      <c r="C597" s="77" t="n"/>
    </row>
    <row r="598">
      <c r="A598" s="43" t="n"/>
      <c r="C598" s="77" t="n"/>
    </row>
    <row r="599">
      <c r="A599" s="43" t="n"/>
      <c r="C599" s="77" t="n"/>
    </row>
    <row r="600">
      <c r="A600" s="43" t="n"/>
      <c r="C600" s="77" t="n"/>
    </row>
    <row r="601">
      <c r="A601" s="43" t="n"/>
      <c r="C601" s="77" t="n"/>
    </row>
    <row r="602">
      <c r="A602" s="43" t="n"/>
      <c r="C602" s="77" t="n"/>
    </row>
    <row r="603">
      <c r="A603" s="43" t="n"/>
      <c r="C603" s="77" t="n"/>
    </row>
    <row r="604">
      <c r="A604" s="43" t="n"/>
      <c r="C604" s="77" t="n"/>
    </row>
    <row r="605">
      <c r="A605" s="43" t="n"/>
      <c r="C605" s="77" t="n"/>
    </row>
    <row r="606">
      <c r="A606" s="43" t="n"/>
      <c r="C606" s="77" t="n"/>
    </row>
    <row r="607">
      <c r="A607" s="43" t="n"/>
      <c r="C607" s="77" t="n"/>
    </row>
    <row r="608">
      <c r="A608" s="43" t="n"/>
      <c r="C608" s="77" t="n"/>
    </row>
    <row r="609">
      <c r="A609" s="43" t="n"/>
      <c r="C609" s="77" t="n"/>
    </row>
    <row r="610">
      <c r="A610" s="43" t="n"/>
      <c r="C610" s="77" t="n"/>
    </row>
    <row r="611">
      <c r="A611" s="43" t="n"/>
      <c r="C611" s="77" t="n"/>
    </row>
    <row r="612">
      <c r="A612" s="43" t="n"/>
      <c r="C612" s="77" t="n"/>
    </row>
    <row r="613">
      <c r="A613" s="43" t="n"/>
      <c r="C613" s="77" t="n"/>
    </row>
    <row r="614">
      <c r="A614" s="43" t="n"/>
      <c r="C614" s="77" t="n"/>
    </row>
    <row r="615">
      <c r="A615" s="43" t="n"/>
      <c r="C615" s="77" t="n"/>
    </row>
    <row r="616">
      <c r="A616" s="43" t="n"/>
      <c r="C616" s="77" t="n"/>
    </row>
    <row r="617">
      <c r="A617" s="43" t="n"/>
      <c r="C617" s="77" t="n"/>
    </row>
    <row r="618">
      <c r="A618" s="43" t="n"/>
      <c r="C618" s="77" t="n"/>
    </row>
    <row r="619">
      <c r="A619" s="43" t="n"/>
      <c r="C619" s="77" t="n"/>
    </row>
    <row r="620">
      <c r="A620" s="43" t="n"/>
      <c r="C620" s="77" t="n"/>
    </row>
    <row r="621">
      <c r="A621" s="43" t="n"/>
      <c r="C621" s="77" t="n"/>
    </row>
    <row r="622">
      <c r="A622" s="43" t="n"/>
      <c r="C622" s="77" t="n"/>
    </row>
    <row r="623">
      <c r="A623" s="43" t="n"/>
      <c r="C623" s="77" t="n"/>
    </row>
    <row r="624">
      <c r="A624" s="43" t="n"/>
      <c r="C624" s="77" t="n"/>
    </row>
    <row r="625">
      <c r="A625" s="43" t="n"/>
      <c r="C625" s="77" t="n"/>
    </row>
    <row r="626">
      <c r="A626" s="43" t="n"/>
      <c r="C626" s="77" t="n"/>
    </row>
    <row r="627">
      <c r="A627" s="43" t="n"/>
      <c r="C627" s="77" t="n"/>
    </row>
    <row r="628">
      <c r="A628" s="43" t="n"/>
      <c r="C628" s="77" t="n"/>
    </row>
    <row r="629">
      <c r="A629" s="43" t="n"/>
      <c r="C629" s="77" t="n"/>
    </row>
    <row r="630">
      <c r="A630" s="43" t="n"/>
      <c r="C630" s="77" t="n"/>
    </row>
    <row r="631">
      <c r="A631" s="43" t="n"/>
      <c r="C631" s="77" t="n"/>
    </row>
    <row r="632">
      <c r="A632" s="43" t="n"/>
      <c r="C632" s="77" t="n"/>
    </row>
    <row r="633">
      <c r="A633" s="43" t="n"/>
      <c r="C633" s="77" t="n"/>
    </row>
    <row r="634">
      <c r="A634" s="43" t="n"/>
      <c r="C634" s="77" t="n"/>
    </row>
    <row r="635">
      <c r="A635" s="43" t="n"/>
      <c r="C635" s="77" t="n"/>
    </row>
    <row r="636">
      <c r="A636" s="43" t="n"/>
      <c r="C636" s="77" t="n"/>
    </row>
    <row r="637">
      <c r="A637" s="43" t="n"/>
      <c r="C637" s="77" t="n"/>
    </row>
    <row r="638">
      <c r="A638" s="43" t="n"/>
      <c r="C638" s="77" t="n"/>
    </row>
    <row r="639">
      <c r="A639" s="43" t="n"/>
      <c r="C639" s="77" t="n"/>
    </row>
    <row r="640">
      <c r="A640" s="43" t="n"/>
      <c r="C640" s="77" t="n"/>
    </row>
    <row r="641">
      <c r="A641" s="43" t="n"/>
      <c r="C641" s="77" t="n"/>
    </row>
    <row r="642">
      <c r="A642" s="43" t="n"/>
      <c r="C642" s="77" t="n"/>
    </row>
    <row r="643">
      <c r="A643" s="43" t="n"/>
      <c r="C643" s="77" t="n"/>
    </row>
    <row r="644">
      <c r="A644" s="43" t="n"/>
      <c r="C644" s="77" t="n"/>
    </row>
    <row r="645">
      <c r="A645" s="43" t="n"/>
      <c r="C645" s="77" t="n"/>
    </row>
    <row r="646">
      <c r="A646" s="43" t="n"/>
      <c r="C646" s="77" t="n"/>
    </row>
    <row r="647">
      <c r="A647" s="43" t="n"/>
      <c r="C647" s="77" t="n"/>
    </row>
    <row r="648">
      <c r="A648" s="43" t="n"/>
      <c r="C648" s="77" t="n"/>
    </row>
    <row r="649">
      <c r="A649" s="43" t="n"/>
      <c r="C649" s="77" t="n"/>
    </row>
    <row r="650">
      <c r="A650" s="43" t="n"/>
      <c r="C650" s="77" t="n"/>
    </row>
    <row r="651">
      <c r="A651" s="43" t="n"/>
      <c r="C651" s="77" t="n"/>
    </row>
    <row r="652">
      <c r="A652" s="43" t="n"/>
      <c r="C652" s="77" t="n"/>
    </row>
    <row r="653">
      <c r="A653" s="43" t="n"/>
      <c r="C653" s="77" t="n"/>
    </row>
    <row r="654">
      <c r="A654" s="43" t="n"/>
      <c r="C654" s="77" t="n"/>
    </row>
    <row r="655">
      <c r="A655" s="43" t="n"/>
      <c r="C655" s="77" t="n"/>
    </row>
    <row r="656">
      <c r="A656" s="43" t="n"/>
      <c r="C656" s="77" t="n"/>
    </row>
    <row r="657">
      <c r="A657" s="43" t="n"/>
      <c r="C657" s="77" t="n"/>
    </row>
    <row r="658">
      <c r="A658" s="43" t="n"/>
      <c r="C658" s="77" t="n"/>
    </row>
    <row r="659">
      <c r="A659" s="43" t="n"/>
      <c r="C659" s="77" t="n"/>
    </row>
    <row r="660">
      <c r="A660" s="43" t="n"/>
      <c r="C660" s="77" t="n"/>
    </row>
    <row r="661">
      <c r="A661" s="43" t="n"/>
      <c r="C661" s="77" t="n"/>
    </row>
    <row r="662">
      <c r="A662" s="43" t="n"/>
      <c r="C662" s="77" t="n"/>
    </row>
    <row r="663">
      <c r="A663" s="43" t="n"/>
      <c r="C663" s="77" t="n"/>
    </row>
    <row r="664">
      <c r="A664" s="43" t="n"/>
      <c r="C664" s="77" t="n"/>
    </row>
    <row r="665">
      <c r="A665" s="43" t="n"/>
      <c r="C665" s="77" t="n"/>
    </row>
    <row r="666">
      <c r="A666" s="43" t="n"/>
      <c r="C666" s="77" t="n"/>
    </row>
    <row r="667">
      <c r="A667" s="43" t="n"/>
      <c r="C667" s="77" t="n"/>
    </row>
    <row r="668">
      <c r="A668" s="43" t="n"/>
      <c r="C668" s="77" t="n"/>
    </row>
    <row r="669">
      <c r="A669" s="43" t="n"/>
      <c r="C669" s="77" t="n"/>
    </row>
    <row r="670">
      <c r="A670" s="43" t="n"/>
      <c r="C670" s="77" t="n"/>
    </row>
    <row r="671">
      <c r="A671" s="43" t="n"/>
      <c r="C671" s="77" t="n"/>
    </row>
    <row r="672">
      <c r="A672" s="43" t="n"/>
      <c r="C672" s="77" t="n"/>
    </row>
    <row r="673">
      <c r="A673" s="43" t="n"/>
      <c r="C673" s="77" t="n"/>
    </row>
    <row r="674">
      <c r="A674" s="43" t="n"/>
      <c r="C674" s="77" t="n"/>
    </row>
    <row r="675">
      <c r="A675" s="43" t="n"/>
      <c r="C675" s="77" t="n"/>
    </row>
    <row r="676">
      <c r="A676" s="43" t="n"/>
      <c r="C676" s="77" t="n"/>
    </row>
    <row r="677">
      <c r="A677" s="43" t="n"/>
      <c r="C677" s="77" t="n"/>
    </row>
    <row r="678">
      <c r="A678" s="43" t="n"/>
      <c r="C678" s="77" t="n"/>
    </row>
    <row r="679">
      <c r="A679" s="43" t="n"/>
      <c r="C679" s="77" t="n"/>
    </row>
    <row r="680">
      <c r="A680" s="43" t="n"/>
      <c r="C680" s="77" t="n"/>
    </row>
    <row r="681">
      <c r="A681" s="43" t="n"/>
      <c r="C681" s="77" t="n"/>
    </row>
    <row r="682">
      <c r="A682" s="43" t="n"/>
      <c r="C682" s="77" t="n"/>
    </row>
    <row r="683">
      <c r="A683" s="43" t="n"/>
      <c r="C683" s="77" t="n"/>
    </row>
    <row r="684">
      <c r="A684" s="43" t="n"/>
      <c r="C684" s="77" t="n"/>
    </row>
    <row r="685">
      <c r="A685" s="43" t="n"/>
      <c r="C685" s="77" t="n"/>
    </row>
    <row r="686">
      <c r="A686" s="43" t="n"/>
      <c r="C686" s="77" t="n"/>
    </row>
    <row r="687">
      <c r="A687" s="43" t="n"/>
      <c r="C687" s="77" t="n"/>
    </row>
    <row r="688">
      <c r="A688" s="43" t="n"/>
      <c r="C688" s="77" t="n"/>
    </row>
    <row r="689">
      <c r="A689" s="43" t="n"/>
      <c r="C689" s="77" t="n"/>
    </row>
    <row r="690">
      <c r="A690" s="43" t="n"/>
      <c r="C690" s="77" t="n"/>
    </row>
    <row r="691">
      <c r="A691" s="43" t="n"/>
      <c r="C691" s="77" t="n"/>
    </row>
    <row r="692">
      <c r="A692" s="43" t="n"/>
      <c r="C692" s="77" t="n"/>
    </row>
    <row r="693">
      <c r="A693" s="43" t="n"/>
      <c r="C693" s="77" t="n"/>
    </row>
    <row r="694">
      <c r="A694" s="43" t="n"/>
      <c r="C694" s="77" t="n"/>
    </row>
    <row r="695">
      <c r="A695" s="43" t="n"/>
      <c r="C695" s="77" t="n"/>
    </row>
    <row r="696">
      <c r="A696" s="43" t="n"/>
      <c r="C696" s="77" t="n"/>
    </row>
    <row r="697">
      <c r="A697" s="43" t="n"/>
      <c r="C697" s="77" t="n"/>
    </row>
    <row r="698">
      <c r="A698" s="43" t="n"/>
      <c r="C698" s="77" t="n"/>
    </row>
    <row r="699">
      <c r="A699" s="43" t="n"/>
      <c r="C699" s="77" t="n"/>
    </row>
    <row r="700">
      <c r="A700" s="43" t="n"/>
      <c r="C700" s="77" t="n"/>
    </row>
    <row r="701">
      <c r="A701" s="43" t="n"/>
      <c r="C701" s="77" t="n"/>
    </row>
    <row r="702">
      <c r="A702" s="43" t="n"/>
      <c r="C702" s="77" t="n"/>
    </row>
    <row r="703">
      <c r="A703" s="43" t="n"/>
      <c r="C703" s="77" t="n"/>
    </row>
    <row r="704">
      <c r="A704" s="43" t="n"/>
      <c r="C704" s="77" t="n"/>
    </row>
    <row r="705">
      <c r="A705" s="43" t="n"/>
      <c r="C705" s="77" t="n"/>
    </row>
    <row r="706">
      <c r="A706" s="43" t="n"/>
      <c r="C706" s="77" t="n"/>
    </row>
    <row r="707">
      <c r="A707" s="43" t="n"/>
      <c r="C707" s="77" t="n"/>
    </row>
    <row r="708">
      <c r="A708" s="43" t="n"/>
      <c r="C708" s="77" t="n"/>
    </row>
    <row r="709">
      <c r="A709" s="43" t="n"/>
      <c r="C709" s="77" t="n"/>
    </row>
    <row r="710">
      <c r="A710" s="43" t="n"/>
      <c r="C710" s="77" t="n"/>
    </row>
    <row r="711">
      <c r="A711" s="43" t="n"/>
      <c r="C711" s="77" t="n"/>
    </row>
    <row r="712">
      <c r="A712" s="43" t="n"/>
      <c r="C712" s="77" t="n"/>
    </row>
    <row r="713">
      <c r="A713" s="43" t="n"/>
      <c r="C713" s="77" t="n"/>
    </row>
    <row r="714">
      <c r="A714" s="43" t="n"/>
      <c r="C714" s="77" t="n"/>
    </row>
    <row r="715">
      <c r="A715" s="43" t="n"/>
      <c r="C715" s="77" t="n"/>
    </row>
    <row r="716">
      <c r="A716" s="43" t="n"/>
      <c r="C716" s="77" t="n"/>
    </row>
    <row r="717">
      <c r="A717" s="43" t="n"/>
      <c r="C717" s="77" t="n"/>
    </row>
    <row r="718">
      <c r="A718" s="43" t="n"/>
      <c r="C718" s="77" t="n"/>
    </row>
    <row r="719">
      <c r="A719" s="43" t="n"/>
      <c r="C719" s="77" t="n"/>
    </row>
    <row r="720">
      <c r="A720" s="43" t="n"/>
      <c r="C720" s="77" t="n"/>
    </row>
    <row r="721">
      <c r="A721" s="43" t="n"/>
      <c r="C721" s="77" t="n"/>
    </row>
    <row r="722">
      <c r="A722" s="43" t="n"/>
      <c r="C722" s="77" t="n"/>
    </row>
    <row r="723">
      <c r="A723" s="43" t="n"/>
      <c r="C723" s="77" t="n"/>
    </row>
    <row r="724">
      <c r="A724" s="43" t="n"/>
      <c r="C724" s="77" t="n"/>
    </row>
    <row r="725">
      <c r="A725" s="43" t="n"/>
      <c r="C725" s="77" t="n"/>
    </row>
    <row r="726">
      <c r="A726" s="43" t="n"/>
      <c r="C726" s="77" t="n"/>
    </row>
    <row r="727">
      <c r="A727" s="43" t="n"/>
      <c r="C727" s="77" t="n"/>
    </row>
    <row r="728">
      <c r="A728" s="43" t="n"/>
      <c r="C728" s="77" t="n"/>
    </row>
    <row r="729">
      <c r="A729" s="43" t="n"/>
      <c r="C729" s="77" t="n"/>
    </row>
    <row r="730">
      <c r="A730" s="43" t="n"/>
      <c r="C730" s="77" t="n"/>
    </row>
    <row r="731">
      <c r="A731" s="43" t="n"/>
      <c r="C731" s="77" t="n"/>
    </row>
    <row r="732">
      <c r="A732" s="43" t="n"/>
      <c r="C732" s="77" t="n"/>
    </row>
    <row r="733">
      <c r="A733" s="43" t="n"/>
      <c r="C733" s="77" t="n"/>
    </row>
    <row r="734">
      <c r="A734" s="43" t="n"/>
      <c r="C734" s="77" t="n"/>
    </row>
    <row r="735">
      <c r="A735" s="43" t="n"/>
      <c r="C735" s="77" t="n"/>
    </row>
    <row r="736">
      <c r="A736" s="43" t="n"/>
      <c r="C736" s="77" t="n"/>
    </row>
    <row r="737">
      <c r="A737" s="43" t="n"/>
      <c r="C737" s="77" t="n"/>
    </row>
    <row r="738">
      <c r="A738" s="43" t="n"/>
      <c r="C738" s="77" t="n"/>
    </row>
    <row r="739">
      <c r="A739" s="43" t="n"/>
      <c r="C739" s="77" t="n"/>
    </row>
    <row r="740">
      <c r="A740" s="43" t="n"/>
      <c r="C740" s="77" t="n"/>
    </row>
    <row r="741">
      <c r="A741" s="43" t="n"/>
      <c r="C741" s="77" t="n"/>
    </row>
    <row r="742">
      <c r="A742" s="43" t="n"/>
      <c r="C742" s="77" t="n"/>
    </row>
    <row r="743">
      <c r="A743" s="43" t="n"/>
      <c r="C743" s="77" t="n"/>
    </row>
    <row r="744">
      <c r="A744" s="43" t="n"/>
      <c r="C744" s="77" t="n"/>
    </row>
    <row r="745">
      <c r="A745" s="43" t="n"/>
      <c r="C745" s="77" t="n"/>
    </row>
    <row r="746">
      <c r="A746" s="43" t="n"/>
      <c r="C746" s="77" t="n"/>
    </row>
    <row r="747">
      <c r="A747" s="43" t="n"/>
      <c r="C747" s="77" t="n"/>
    </row>
    <row r="748">
      <c r="A748" s="43" t="n"/>
      <c r="C748" s="77" t="n"/>
    </row>
    <row r="749">
      <c r="A749" s="43" t="n"/>
      <c r="C749" s="77" t="n"/>
    </row>
    <row r="750">
      <c r="A750" s="43" t="n"/>
      <c r="C750" s="77" t="n"/>
    </row>
    <row r="751">
      <c r="A751" s="43" t="n"/>
      <c r="C751" s="77" t="n"/>
    </row>
    <row r="752">
      <c r="A752" s="43" t="n"/>
      <c r="C752" s="77" t="n"/>
    </row>
    <row r="753">
      <c r="A753" s="43" t="n"/>
      <c r="C753" s="77" t="n"/>
    </row>
    <row r="754">
      <c r="A754" s="43" t="n"/>
      <c r="C754" s="77" t="n"/>
    </row>
    <row r="755">
      <c r="A755" s="43" t="n"/>
      <c r="C755" s="77" t="n"/>
    </row>
    <row r="756">
      <c r="A756" s="43" t="n"/>
      <c r="C756" s="77" t="n"/>
    </row>
    <row r="757">
      <c r="A757" s="43" t="n"/>
      <c r="C757" s="77" t="n"/>
    </row>
    <row r="758">
      <c r="A758" s="43" t="n"/>
      <c r="C758" s="77" t="n"/>
    </row>
    <row r="759">
      <c r="A759" s="43" t="n"/>
      <c r="C759" s="77" t="n"/>
    </row>
    <row r="760">
      <c r="A760" s="43" t="n"/>
      <c r="C760" s="77" t="n"/>
    </row>
    <row r="761">
      <c r="A761" s="43" t="n"/>
      <c r="C761" s="77" t="n"/>
    </row>
    <row r="762">
      <c r="A762" s="43" t="n"/>
      <c r="C762" s="77" t="n"/>
    </row>
    <row r="763">
      <c r="A763" s="43" t="n"/>
      <c r="C763" s="77" t="n"/>
    </row>
    <row r="764">
      <c r="A764" s="43" t="n"/>
      <c r="C764" s="77" t="n"/>
    </row>
    <row r="765">
      <c r="A765" s="43" t="n"/>
      <c r="C765" s="77" t="n"/>
    </row>
    <row r="766">
      <c r="A766" s="43" t="n"/>
      <c r="C766" s="77" t="n"/>
    </row>
    <row r="767">
      <c r="A767" s="43" t="n"/>
      <c r="C767" s="77" t="n"/>
    </row>
    <row r="768">
      <c r="A768" s="43" t="n"/>
      <c r="C768" s="77" t="n"/>
    </row>
    <row r="769">
      <c r="A769" s="43" t="n"/>
      <c r="C769" s="77" t="n"/>
    </row>
    <row r="770">
      <c r="A770" s="43" t="n"/>
      <c r="C770" s="77" t="n"/>
    </row>
    <row r="771">
      <c r="A771" s="43" t="n"/>
      <c r="C771" s="77" t="n"/>
    </row>
    <row r="772">
      <c r="A772" s="43" t="n"/>
      <c r="C772" s="77" t="n"/>
    </row>
    <row r="773">
      <c r="A773" s="43" t="n"/>
      <c r="C773" s="77" t="n"/>
    </row>
    <row r="774">
      <c r="A774" s="43" t="n"/>
      <c r="C774" s="77" t="n"/>
    </row>
    <row r="775">
      <c r="A775" s="43" t="n"/>
      <c r="C775" s="77" t="n"/>
    </row>
    <row r="776">
      <c r="A776" s="43" t="n"/>
      <c r="C776" s="77" t="n"/>
    </row>
    <row r="777">
      <c r="A777" s="43" t="n"/>
      <c r="C777" s="77" t="n"/>
    </row>
    <row r="778">
      <c r="A778" s="43" t="n"/>
      <c r="C778" s="77" t="n"/>
    </row>
    <row r="779">
      <c r="A779" s="43" t="n"/>
      <c r="C779" s="77" t="n"/>
    </row>
    <row r="780">
      <c r="A780" s="43" t="n"/>
      <c r="C780" s="77" t="n"/>
    </row>
    <row r="781">
      <c r="A781" s="43" t="n"/>
      <c r="C781" s="77" t="n"/>
    </row>
    <row r="782">
      <c r="A782" s="43" t="n"/>
      <c r="C782" s="77" t="n"/>
    </row>
    <row r="783">
      <c r="A783" s="43" t="n"/>
      <c r="C783" s="77" t="n"/>
    </row>
    <row r="784">
      <c r="A784" s="43" t="n"/>
      <c r="C784" s="77" t="n"/>
    </row>
    <row r="785">
      <c r="A785" s="43" t="n"/>
      <c r="C785" s="77" t="n"/>
    </row>
    <row r="786">
      <c r="A786" s="43" t="n"/>
      <c r="C786" s="77" t="n"/>
    </row>
    <row r="787">
      <c r="A787" s="43" t="n"/>
      <c r="C787" s="77" t="n"/>
    </row>
    <row r="788">
      <c r="A788" s="43" t="n"/>
      <c r="C788" s="77" t="n"/>
    </row>
    <row r="789">
      <c r="A789" s="43" t="n"/>
      <c r="C789" s="77" t="n"/>
    </row>
    <row r="790">
      <c r="A790" s="43" t="n"/>
      <c r="C790" s="77" t="n"/>
    </row>
    <row r="791">
      <c r="A791" s="43" t="n"/>
      <c r="C791" s="77" t="n"/>
    </row>
    <row r="792">
      <c r="A792" s="43" t="n"/>
      <c r="C792" s="77" t="n"/>
    </row>
    <row r="793">
      <c r="A793" s="43" t="n"/>
      <c r="C793" s="77" t="n"/>
    </row>
    <row r="794">
      <c r="A794" s="43" t="n"/>
      <c r="C794" s="77" t="n"/>
    </row>
    <row r="795">
      <c r="A795" s="43" t="n"/>
      <c r="C795" s="77" t="n"/>
    </row>
    <row r="796">
      <c r="A796" s="43" t="n"/>
      <c r="C796" s="77" t="n"/>
    </row>
    <row r="797">
      <c r="A797" s="43" t="n"/>
      <c r="C797" s="77" t="n"/>
    </row>
    <row r="798">
      <c r="A798" s="43" t="n"/>
      <c r="C798" s="77" t="n"/>
    </row>
    <row r="799">
      <c r="A799" s="43" t="n"/>
      <c r="C799" s="77" t="n"/>
    </row>
    <row r="800">
      <c r="A800" s="43" t="n"/>
      <c r="C800" s="77" t="n"/>
    </row>
    <row r="801">
      <c r="A801" s="43" t="n"/>
      <c r="C801" s="77" t="n"/>
    </row>
    <row r="802">
      <c r="A802" s="43" t="n"/>
      <c r="C802" s="77" t="n"/>
    </row>
    <row r="803">
      <c r="A803" s="43" t="n"/>
      <c r="C803" s="77" t="n"/>
    </row>
    <row r="804">
      <c r="A804" s="43" t="n"/>
      <c r="C804" s="77" t="n"/>
    </row>
    <row r="805">
      <c r="A805" s="43" t="n"/>
      <c r="C805" s="77" t="n"/>
    </row>
    <row r="806">
      <c r="A806" s="43" t="n"/>
      <c r="C806" s="77" t="n"/>
    </row>
    <row r="807">
      <c r="A807" s="43" t="n"/>
      <c r="C807" s="77" t="n"/>
    </row>
    <row r="808">
      <c r="A808" s="43" t="n"/>
      <c r="C808" s="77" t="n"/>
    </row>
    <row r="809">
      <c r="A809" s="43" t="n"/>
      <c r="C809" s="77" t="n"/>
    </row>
    <row r="810">
      <c r="A810" s="43" t="n"/>
      <c r="C810" s="77" t="n"/>
    </row>
    <row r="811">
      <c r="A811" s="43" t="n"/>
      <c r="C811" s="77" t="n"/>
    </row>
    <row r="812">
      <c r="A812" s="43" t="n"/>
      <c r="C812" s="77" t="n"/>
    </row>
    <row r="813">
      <c r="A813" s="43" t="n"/>
      <c r="C813" s="77" t="n"/>
    </row>
    <row r="814">
      <c r="A814" s="43" t="n"/>
      <c r="C814" s="77" t="n"/>
    </row>
    <row r="815">
      <c r="A815" s="43" t="n"/>
      <c r="C815" s="77" t="n"/>
    </row>
    <row r="816">
      <c r="A816" s="43" t="n"/>
      <c r="C816" s="77" t="n"/>
    </row>
    <row r="817">
      <c r="A817" s="43" t="n"/>
      <c r="C817" s="77" t="n"/>
    </row>
    <row r="818">
      <c r="A818" s="43" t="n"/>
      <c r="C818" s="77" t="n"/>
    </row>
    <row r="819">
      <c r="A819" s="43" t="n"/>
      <c r="C819" s="77" t="n"/>
    </row>
    <row r="820">
      <c r="A820" s="43" t="n"/>
      <c r="C820" s="77" t="n"/>
    </row>
    <row r="821">
      <c r="A821" s="43" t="n"/>
      <c r="C821" s="77" t="n"/>
    </row>
    <row r="822">
      <c r="A822" s="43" t="n"/>
      <c r="C822" s="77" t="n"/>
    </row>
    <row r="823">
      <c r="A823" s="43" t="n"/>
      <c r="C823" s="77" t="n"/>
    </row>
    <row r="824">
      <c r="A824" s="43" t="n"/>
      <c r="C824" s="77" t="n"/>
    </row>
    <row r="825">
      <c r="A825" s="43" t="n"/>
      <c r="C825" s="77" t="n"/>
    </row>
    <row r="826">
      <c r="A826" s="43" t="n"/>
      <c r="C826" s="77" t="n"/>
    </row>
    <row r="827">
      <c r="A827" s="43" t="n"/>
      <c r="C827" s="77" t="n"/>
    </row>
    <row r="828">
      <c r="A828" s="43" t="n"/>
      <c r="C828" s="77" t="n"/>
    </row>
    <row r="829">
      <c r="A829" s="43" t="n"/>
      <c r="C829" s="77" t="n"/>
    </row>
    <row r="830">
      <c r="A830" s="43" t="n"/>
      <c r="C830" s="77" t="n"/>
    </row>
    <row r="831">
      <c r="A831" s="43" t="n"/>
      <c r="C831" s="77" t="n"/>
    </row>
    <row r="832">
      <c r="A832" s="43" t="n"/>
      <c r="C832" s="77" t="n"/>
    </row>
    <row r="833">
      <c r="A833" s="43" t="n"/>
      <c r="C833" s="77" t="n"/>
    </row>
    <row r="834">
      <c r="A834" s="43" t="n"/>
      <c r="C834" s="77" t="n"/>
    </row>
    <row r="835">
      <c r="A835" s="43" t="n"/>
      <c r="C835" s="77" t="n"/>
    </row>
    <row r="836">
      <c r="A836" s="43" t="n"/>
      <c r="C836" s="77" t="n"/>
    </row>
    <row r="837">
      <c r="A837" s="43" t="n"/>
      <c r="C837" s="77" t="n"/>
    </row>
    <row r="838">
      <c r="A838" s="43" t="n"/>
      <c r="C838" s="77" t="n"/>
    </row>
    <row r="839">
      <c r="A839" s="43" t="n"/>
      <c r="C839" s="77" t="n"/>
    </row>
    <row r="840">
      <c r="A840" s="43" t="n"/>
      <c r="C840" s="77" t="n"/>
    </row>
    <row r="841">
      <c r="A841" s="43" t="n"/>
      <c r="C841" s="77" t="n"/>
    </row>
    <row r="842">
      <c r="A842" s="43" t="n"/>
      <c r="C842" s="77" t="n"/>
    </row>
    <row r="843">
      <c r="A843" s="43" t="n"/>
      <c r="C843" s="77" t="n"/>
    </row>
    <row r="844">
      <c r="A844" s="43" t="n"/>
      <c r="C844" s="77" t="n"/>
    </row>
    <row r="845">
      <c r="A845" s="43" t="n"/>
      <c r="C845" s="77" t="n"/>
    </row>
    <row r="846">
      <c r="A846" s="43" t="n"/>
      <c r="C846" s="77" t="n"/>
    </row>
    <row r="847">
      <c r="A847" s="43" t="n"/>
      <c r="C847" s="77" t="n"/>
    </row>
    <row r="848">
      <c r="A848" s="43" t="n"/>
      <c r="C848" s="77" t="n"/>
    </row>
    <row r="849">
      <c r="A849" s="43" t="n"/>
      <c r="C849" s="77" t="n"/>
    </row>
    <row r="850">
      <c r="A850" s="43" t="n"/>
      <c r="C850" s="77" t="n"/>
    </row>
    <row r="851">
      <c r="A851" s="43" t="n"/>
      <c r="C851" s="77" t="n"/>
    </row>
    <row r="852">
      <c r="A852" s="43" t="n"/>
      <c r="C852" s="77" t="n"/>
    </row>
    <row r="853">
      <c r="A853" s="43" t="n"/>
      <c r="C853" s="77" t="n"/>
    </row>
    <row r="854">
      <c r="A854" s="43" t="n"/>
      <c r="C854" s="77" t="n"/>
    </row>
    <row r="855">
      <c r="A855" s="43" t="n"/>
      <c r="C855" s="77" t="n"/>
    </row>
    <row r="856">
      <c r="A856" s="43" t="n"/>
      <c r="C856" s="77" t="n"/>
    </row>
    <row r="857">
      <c r="A857" s="43" t="n"/>
      <c r="C857" s="77" t="n"/>
    </row>
    <row r="858">
      <c r="A858" s="43" t="n"/>
      <c r="C858" s="77" t="n"/>
    </row>
    <row r="859">
      <c r="A859" s="43" t="n"/>
      <c r="C859" s="77" t="n"/>
    </row>
    <row r="860">
      <c r="A860" s="43" t="n"/>
      <c r="C860" s="77" t="n"/>
    </row>
    <row r="861">
      <c r="A861" s="43" t="n"/>
      <c r="C861" s="77" t="n"/>
    </row>
    <row r="862">
      <c r="A862" s="43" t="n"/>
      <c r="C862" s="77" t="n"/>
    </row>
    <row r="863">
      <c r="A863" s="43" t="n"/>
      <c r="C863" s="77" t="n"/>
    </row>
    <row r="864">
      <c r="A864" s="43" t="n"/>
      <c r="C864" s="77" t="n"/>
    </row>
    <row r="865">
      <c r="A865" s="43" t="n"/>
      <c r="C865" s="77" t="n"/>
    </row>
    <row r="866">
      <c r="A866" s="43" t="n"/>
      <c r="C866" s="77" t="n"/>
    </row>
    <row r="867">
      <c r="A867" s="43" t="n"/>
      <c r="C867" s="77" t="n"/>
    </row>
    <row r="868">
      <c r="A868" s="43" t="n"/>
      <c r="C868" s="77" t="n"/>
    </row>
    <row r="869">
      <c r="A869" s="43" t="n"/>
      <c r="C869" s="77" t="n"/>
    </row>
    <row r="870">
      <c r="A870" s="43" t="n"/>
      <c r="C870" s="77" t="n"/>
    </row>
    <row r="871">
      <c r="A871" s="43" t="n"/>
      <c r="C871" s="77" t="n"/>
    </row>
    <row r="872">
      <c r="A872" s="43" t="n"/>
      <c r="C872" s="77" t="n"/>
    </row>
    <row r="873">
      <c r="A873" s="43" t="n"/>
      <c r="C873" s="77" t="n"/>
    </row>
    <row r="874">
      <c r="A874" s="43" t="n"/>
      <c r="C874" s="77" t="n"/>
    </row>
    <row r="875">
      <c r="A875" s="43" t="n"/>
      <c r="C875" s="77" t="n"/>
    </row>
    <row r="876">
      <c r="A876" s="43" t="n"/>
      <c r="C876" s="77" t="n"/>
    </row>
    <row r="877">
      <c r="A877" s="43" t="n"/>
      <c r="C877" s="77" t="n"/>
    </row>
    <row r="878">
      <c r="A878" s="43" t="n"/>
      <c r="C878" s="77" t="n"/>
    </row>
    <row r="879">
      <c r="A879" s="43" t="n"/>
      <c r="C879" s="77" t="n"/>
    </row>
    <row r="880">
      <c r="A880" s="43" t="n"/>
      <c r="C880" s="77" t="n"/>
    </row>
    <row r="881">
      <c r="A881" s="43" t="n"/>
      <c r="C881" s="77" t="n"/>
    </row>
    <row r="882">
      <c r="A882" s="43" t="n"/>
      <c r="C882" s="77" t="n"/>
    </row>
    <row r="883">
      <c r="A883" s="43" t="n"/>
      <c r="C883" s="77" t="n"/>
    </row>
    <row r="884">
      <c r="A884" s="43" t="n"/>
      <c r="C884" s="77" t="n"/>
    </row>
    <row r="885">
      <c r="A885" s="43" t="n"/>
      <c r="C885" s="77" t="n"/>
    </row>
    <row r="886">
      <c r="A886" s="43" t="n"/>
      <c r="C886" s="77" t="n"/>
    </row>
    <row r="887">
      <c r="A887" s="43" t="n"/>
      <c r="C887" s="77" t="n"/>
    </row>
    <row r="888">
      <c r="A888" s="43" t="n"/>
      <c r="C888" s="77" t="n"/>
    </row>
    <row r="889">
      <c r="A889" s="43" t="n"/>
      <c r="C889" s="77" t="n"/>
    </row>
    <row r="890">
      <c r="A890" s="43" t="n"/>
      <c r="C890" s="77" t="n"/>
    </row>
    <row r="891">
      <c r="A891" s="43" t="n"/>
      <c r="C891" s="77" t="n"/>
    </row>
    <row r="892">
      <c r="A892" s="43" t="n"/>
      <c r="C892" s="77" t="n"/>
    </row>
    <row r="893">
      <c r="A893" s="43" t="n"/>
      <c r="C893" s="77" t="n"/>
    </row>
    <row r="894">
      <c r="A894" s="43" t="n"/>
      <c r="C894" s="77" t="n"/>
    </row>
    <row r="895">
      <c r="A895" s="43" t="n"/>
      <c r="C895" s="77" t="n"/>
    </row>
    <row r="896">
      <c r="A896" s="43" t="n"/>
      <c r="C896" s="77" t="n"/>
    </row>
    <row r="897">
      <c r="A897" s="43" t="n"/>
      <c r="C897" s="77" t="n"/>
    </row>
    <row r="898">
      <c r="A898" s="43" t="n"/>
      <c r="C898" s="77" t="n"/>
    </row>
    <row r="899">
      <c r="A899" s="43" t="n"/>
      <c r="C899" s="77" t="n"/>
    </row>
    <row r="900">
      <c r="A900" s="43" t="n"/>
      <c r="C900" s="77" t="n"/>
    </row>
    <row r="901">
      <c r="A901" s="43" t="n"/>
      <c r="C901" s="77" t="n"/>
    </row>
    <row r="902">
      <c r="A902" s="43" t="n"/>
      <c r="C902" s="77" t="n"/>
    </row>
    <row r="903">
      <c r="A903" s="43" t="n"/>
      <c r="C903" s="77" t="n"/>
    </row>
    <row r="904">
      <c r="A904" s="43" t="n"/>
      <c r="C904" s="77" t="n"/>
    </row>
    <row r="905">
      <c r="A905" s="43" t="n"/>
      <c r="C905" s="77" t="n"/>
    </row>
    <row r="906">
      <c r="A906" s="43" t="n"/>
      <c r="C906" s="77" t="n"/>
    </row>
    <row r="907">
      <c r="A907" s="43" t="n"/>
      <c r="C907" s="77" t="n"/>
    </row>
    <row r="908">
      <c r="A908" s="43" t="n"/>
      <c r="C908" s="77" t="n"/>
    </row>
    <row r="909">
      <c r="A909" s="43" t="n"/>
      <c r="C909" s="77" t="n"/>
    </row>
    <row r="910">
      <c r="A910" s="43" t="n"/>
      <c r="C910" s="77" t="n"/>
    </row>
    <row r="911">
      <c r="A911" s="43" t="n"/>
      <c r="C911" s="77" t="n"/>
    </row>
    <row r="912">
      <c r="A912" s="43" t="n"/>
      <c r="C912" s="77" t="n"/>
    </row>
    <row r="913">
      <c r="A913" s="43" t="n"/>
      <c r="C913" s="77" t="n"/>
    </row>
    <row r="914">
      <c r="A914" s="43" t="n"/>
      <c r="C914" s="77" t="n"/>
    </row>
    <row r="915">
      <c r="A915" s="43" t="n"/>
      <c r="C915" s="77" t="n"/>
    </row>
    <row r="916">
      <c r="A916" s="43" t="n"/>
      <c r="C916" s="77" t="n"/>
    </row>
    <row r="917">
      <c r="A917" s="43" t="n"/>
      <c r="C917" s="77" t="n"/>
    </row>
    <row r="918">
      <c r="A918" s="43" t="n"/>
      <c r="C918" s="77" t="n"/>
    </row>
    <row r="919">
      <c r="A919" s="43" t="n"/>
      <c r="C919" s="77" t="n"/>
    </row>
    <row r="920">
      <c r="A920" s="43" t="n"/>
      <c r="C920" s="77" t="n"/>
    </row>
    <row r="921">
      <c r="A921" s="43" t="n"/>
      <c r="C921" s="77" t="n"/>
    </row>
    <row r="922">
      <c r="A922" s="43" t="n"/>
      <c r="C922" s="77" t="n"/>
    </row>
    <row r="923">
      <c r="A923" s="43" t="n"/>
      <c r="C923" s="77" t="n"/>
    </row>
    <row r="924">
      <c r="A924" s="43" t="n"/>
      <c r="C924" s="77" t="n"/>
    </row>
    <row r="925">
      <c r="A925" s="43" t="n"/>
      <c r="C925" s="77" t="n"/>
    </row>
    <row r="926">
      <c r="A926" s="43" t="n"/>
      <c r="C926" s="77" t="n"/>
    </row>
    <row r="927">
      <c r="A927" s="43" t="n"/>
      <c r="C927" s="77" t="n"/>
    </row>
    <row r="928">
      <c r="A928" s="43" t="n"/>
      <c r="C928" s="77" t="n"/>
    </row>
    <row r="929">
      <c r="A929" s="43" t="n"/>
      <c r="C929" s="77" t="n"/>
    </row>
    <row r="930">
      <c r="A930" s="43" t="n"/>
      <c r="C930" s="77" t="n"/>
    </row>
    <row r="931">
      <c r="A931" s="43" t="n"/>
      <c r="C931" s="77" t="n"/>
    </row>
    <row r="932">
      <c r="A932" s="43" t="n"/>
      <c r="C932" s="77" t="n"/>
    </row>
    <row r="933">
      <c r="A933" s="43" t="n"/>
      <c r="C933" s="77" t="n"/>
    </row>
    <row r="934">
      <c r="A934" s="43" t="n"/>
      <c r="C934" s="77" t="n"/>
    </row>
    <row r="935">
      <c r="A935" s="43" t="n"/>
      <c r="C935" s="77" t="n"/>
    </row>
    <row r="936">
      <c r="A936" s="43" t="n"/>
      <c r="C936" s="77" t="n"/>
    </row>
    <row r="937">
      <c r="A937" s="43" t="n"/>
      <c r="C937" s="77" t="n"/>
    </row>
    <row r="938">
      <c r="A938" s="43" t="n"/>
      <c r="C938" s="77" t="n"/>
    </row>
    <row r="939">
      <c r="A939" s="43" t="n"/>
      <c r="C939" s="77" t="n"/>
    </row>
    <row r="940">
      <c r="A940" s="43" t="n"/>
      <c r="C940" s="77" t="n"/>
    </row>
    <row r="941">
      <c r="A941" s="43" t="n"/>
      <c r="C941" s="77" t="n"/>
    </row>
    <row r="942">
      <c r="A942" s="43" t="n"/>
      <c r="C942" s="77" t="n"/>
    </row>
    <row r="943">
      <c r="A943" s="43" t="n"/>
      <c r="C943" s="77" t="n"/>
    </row>
    <row r="944">
      <c r="A944" s="43" t="n"/>
      <c r="C944" s="77" t="n"/>
    </row>
    <row r="945">
      <c r="A945" s="43" t="n"/>
      <c r="C945" s="77" t="n"/>
    </row>
    <row r="946">
      <c r="A946" s="43" t="n"/>
      <c r="C946" s="77" t="n"/>
    </row>
    <row r="947">
      <c r="A947" s="43" t="n"/>
      <c r="C947" s="77" t="n"/>
    </row>
    <row r="948">
      <c r="A948" s="43" t="n"/>
      <c r="C948" s="77" t="n"/>
    </row>
    <row r="949">
      <c r="A949" s="43" t="n"/>
      <c r="C949" s="77" t="n"/>
    </row>
    <row r="950">
      <c r="A950" s="43" t="n"/>
      <c r="C950" s="77" t="n"/>
    </row>
    <row r="951">
      <c r="A951" s="43" t="n"/>
      <c r="C951" s="77" t="n"/>
    </row>
    <row r="952">
      <c r="A952" s="43" t="n"/>
      <c r="C952" s="77" t="n"/>
    </row>
    <row r="953">
      <c r="A953" s="43" t="n"/>
      <c r="C953" s="77" t="n"/>
    </row>
    <row r="954">
      <c r="A954" s="43" t="n"/>
      <c r="C954" s="77" t="n"/>
    </row>
    <row r="955">
      <c r="A955" s="43" t="n"/>
      <c r="C955" s="77" t="n"/>
    </row>
    <row r="956">
      <c r="A956" s="43" t="n"/>
      <c r="C956" s="77" t="n"/>
    </row>
    <row r="957">
      <c r="A957" s="43" t="n"/>
      <c r="C957" s="77" t="n"/>
    </row>
    <row r="958">
      <c r="A958" s="43" t="n"/>
      <c r="C958" s="77" t="n"/>
    </row>
    <row r="959">
      <c r="A959" s="43" t="n"/>
      <c r="C959" s="77" t="n"/>
    </row>
    <row r="960">
      <c r="A960" s="43" t="n"/>
      <c r="C960" s="77" t="n"/>
    </row>
    <row r="961">
      <c r="A961" s="43" t="n"/>
      <c r="C961" s="77" t="n"/>
    </row>
    <row r="962">
      <c r="A962" s="43" t="n"/>
      <c r="C962" s="77" t="n"/>
    </row>
    <row r="963">
      <c r="A963" s="43" t="n"/>
      <c r="C963" s="77" t="n"/>
    </row>
    <row r="964">
      <c r="A964" s="43" t="n"/>
      <c r="C964" s="77" t="n"/>
    </row>
    <row r="965">
      <c r="A965" s="43" t="n"/>
      <c r="C965" s="77" t="n"/>
    </row>
    <row r="966">
      <c r="A966" s="43" t="n"/>
      <c r="C966" s="77" t="n"/>
    </row>
    <row r="967">
      <c r="A967" s="43" t="n"/>
      <c r="C967" s="77" t="n"/>
    </row>
    <row r="968">
      <c r="A968" s="43" t="n"/>
      <c r="C968" s="77" t="n"/>
    </row>
    <row r="969">
      <c r="A969" s="43" t="n"/>
      <c r="C969" s="77" t="n"/>
    </row>
    <row r="970">
      <c r="A970" s="43" t="n"/>
      <c r="C970" s="77" t="n"/>
    </row>
    <row r="971">
      <c r="A971" s="43" t="n"/>
      <c r="C971" s="77" t="n"/>
    </row>
    <row r="972">
      <c r="A972" s="43" t="n"/>
      <c r="C972" s="77" t="n"/>
    </row>
    <row r="973">
      <c r="A973" s="43" t="n"/>
      <c r="C973" s="77" t="n"/>
    </row>
    <row r="974">
      <c r="A974" s="43" t="n"/>
      <c r="C974" s="77" t="n"/>
    </row>
    <row r="975">
      <c r="A975" s="43" t="n"/>
      <c r="C975" s="77" t="n"/>
    </row>
    <row r="976">
      <c r="A976" s="43" t="n"/>
      <c r="C976" s="77" t="n"/>
    </row>
    <row r="977">
      <c r="A977" s="43" t="n"/>
      <c r="C977" s="77" t="n"/>
    </row>
    <row r="978">
      <c r="A978" s="43" t="n"/>
      <c r="C978" s="77" t="n"/>
    </row>
    <row r="979">
      <c r="A979" s="43" t="n"/>
      <c r="C979" s="77" t="n"/>
    </row>
    <row r="980">
      <c r="A980" s="43" t="n"/>
      <c r="C980" s="77" t="n"/>
    </row>
    <row r="981">
      <c r="A981" s="43" t="n"/>
      <c r="C981" s="77" t="n"/>
    </row>
    <row r="982">
      <c r="A982" s="43" t="n"/>
      <c r="C982" s="77" t="n"/>
    </row>
    <row r="983">
      <c r="A983" s="43" t="n"/>
      <c r="C983" s="77" t="n"/>
    </row>
    <row r="984">
      <c r="A984" s="43" t="n"/>
      <c r="C984" s="77" t="n"/>
    </row>
    <row r="985">
      <c r="A985" s="43" t="n"/>
      <c r="C985" s="77" t="n"/>
    </row>
    <row r="986">
      <c r="A986" s="43" t="n"/>
      <c r="C986" s="77" t="n"/>
    </row>
    <row r="987">
      <c r="A987" s="43" t="n"/>
      <c r="C987" s="77" t="n"/>
    </row>
    <row r="988">
      <c r="A988" s="43" t="n"/>
      <c r="C988" s="77" t="n"/>
    </row>
    <row r="989">
      <c r="A989" s="43" t="n"/>
      <c r="C989" s="77" t="n"/>
    </row>
    <row r="990">
      <c r="A990" s="43" t="n"/>
      <c r="C990" s="77" t="n"/>
    </row>
    <row r="991">
      <c r="A991" s="43" t="n"/>
      <c r="C991" s="77" t="n"/>
    </row>
    <row r="992">
      <c r="A992" s="43" t="n"/>
      <c r="C992" s="77" t="n"/>
    </row>
    <row r="993">
      <c r="A993" s="43" t="n"/>
      <c r="C993" s="77" t="n"/>
    </row>
    <row r="994">
      <c r="A994" s="43" t="n"/>
      <c r="C994" s="77" t="n"/>
    </row>
    <row r="995">
      <c r="A995" s="43" t="n"/>
      <c r="C995" s="77" t="n"/>
    </row>
    <row r="996">
      <c r="A996" s="43" t="n"/>
      <c r="C996" s="77" t="n"/>
    </row>
    <row r="997">
      <c r="A997" s="43" t="n"/>
      <c r="C997" s="77" t="n"/>
    </row>
    <row r="998">
      <c r="A998" s="43" t="n"/>
      <c r="C998" s="77" t="n"/>
    </row>
    <row r="999">
      <c r="A999" s="43" t="n"/>
      <c r="C999" s="77" t="n"/>
    </row>
    <row r="1000">
      <c r="A1000" s="43" t="n"/>
      <c r="C1000" s="77" t="n"/>
    </row>
    <row r="1001">
      <c r="A1001" s="43" t="n"/>
      <c r="C1001" s="77" t="n"/>
    </row>
  </sheetData>
  <autoFilter ref="A1:I10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F7F7F"/>
    <outlinePr summaryBelow="0" summaryRight="0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32" customWidth="1" style="78" min="1" max="1"/>
    <col width="32" customWidth="1" style="78" min="2" max="2"/>
    <col width="32" customWidth="1" style="78" min="3" max="3"/>
    <col width="32" customWidth="1" style="78" min="4" max="4"/>
  </cols>
  <sheetData>
    <row r="1">
      <c r="A1" s="79" t="inlineStr">
        <is>
          <t>Ventas Totales</t>
        </is>
      </c>
      <c r="B1" s="79" t="inlineStr">
        <is>
          <t>Efectivo</t>
        </is>
      </c>
      <c r="C1" s="79" t="inlineStr">
        <is>
          <t>Billeteras V.</t>
        </is>
      </c>
      <c r="D1" s="79" t="inlineStr">
        <is>
          <t>Tarjetas</t>
        </is>
      </c>
    </row>
    <row r="2">
      <c r="A2" s="106" t="inlineStr">
        <is>
          <t>Precio Final</t>
        </is>
      </c>
      <c r="B2" s="110">
        <f>SUM('Base de Datos Efectivo'!C49:C10000)</f>
        <v/>
      </c>
      <c r="C2" s="110">
        <f>SUM('Base de Datos Billeteras Virtua'!C249:C10120)</f>
        <v/>
      </c>
      <c r="D2" s="110">
        <f>SUM('Base de Datos Tarjetas'!C176:C10000)</f>
        <v/>
      </c>
    </row>
    <row r="3">
      <c r="A3" s="77" t="inlineStr">
        <is>
          <t>Costo</t>
        </is>
      </c>
      <c r="B3" s="76">
        <f>B2*0.7</f>
        <v/>
      </c>
      <c r="C3" s="76">
        <f>C2*0.7</f>
        <v/>
      </c>
      <c r="D3" s="76">
        <f>D2*0.7</f>
        <v/>
      </c>
    </row>
    <row r="4">
      <c r="A4" s="106" t="inlineStr">
        <is>
          <t>Rentabilidad</t>
        </is>
      </c>
      <c r="B4" s="110">
        <f>B2-B3</f>
        <v/>
      </c>
      <c r="C4" s="110">
        <f>C2-C3</f>
        <v/>
      </c>
      <c r="D4" s="110">
        <f>D2-D3</f>
        <v/>
      </c>
    </row>
    <row r="5">
      <c r="A5" s="77" t="inlineStr">
        <is>
          <t>Estimado Facturacion al 042026</t>
        </is>
      </c>
      <c r="B5" s="76" t="n"/>
    </row>
    <row r="6">
      <c r="B6" s="76" t="n"/>
    </row>
    <row r="7">
      <c r="A7" s="77" t="inlineStr">
        <is>
          <t>Compras</t>
        </is>
      </c>
      <c r="B7" s="76" t="n"/>
    </row>
    <row r="8">
      <c r="A8" s="106" t="inlineStr">
        <is>
          <t>Facturado</t>
        </is>
      </c>
      <c r="B8" s="110">
        <f>SUM(Compras!C6:C1001)</f>
        <v/>
      </c>
    </row>
    <row r="9"/>
    <row r="10">
      <c r="A10" s="106" t="inlineStr">
        <is>
          <t>S/F</t>
        </is>
      </c>
      <c r="B10" s="110">
        <f>D3-B8</f>
        <v/>
      </c>
      <c r="C10" s="110">
        <f>B10*0.025</f>
        <v/>
      </c>
    </row>
  </sheetData>
  <autoFilter ref="A1:D10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2026-08-24T15:15:13Z</dcterms:created>
  <dcterms:modified xmlns:dcterms="http://purl.org/dc/terms/" xmlns:xsi="http://www.w3.org/2001/XMLSchema-instance" xsi:type="dcterms:W3CDTF">2026-08-24T15:15:14Z</dcterms:modified>
</cp:coreProperties>
</file>